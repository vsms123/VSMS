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t.2013\Documents\NetBeansProjects\VSMSRenewed\VSMS\"/>
    </mc:Choice>
  </mc:AlternateContent>
  <bookViews>
    <workbookView xWindow="0" yWindow="0" windowWidth="13530" windowHeight="6780" firstSheet="4" activeTab="4"/>
  </bookViews>
  <sheets>
    <sheet name="Suppliers" sheetId="1" r:id="rId1"/>
    <sheet name="Vendors" sheetId="2" r:id="rId2"/>
    <sheet name="Ingredient" sheetId="3" r:id="rId3"/>
    <sheet name="IngredientGenerator" sheetId="4" r:id="rId4"/>
    <sheet name="Ingredient Confirm" sheetId="5" r:id="rId5"/>
    <sheet name="Dish" sheetId="6" r:id="rId6"/>
    <sheet name="Ingredient_Quantity" sheetId="7" r:id="rId7"/>
    <sheet name="Ingredient_Quantity_Confirm" sheetId="8" r:id="rId8"/>
  </sheets>
  <functionGroups builtInGroupCount="18"/>
  <definedNames>
    <definedName name="_xlnm._FilterDatabase" localSheetId="5" hidden="1">Dish!$A$1:$D$91</definedName>
    <definedName name="_xlnm._FilterDatabase" localSheetId="4" hidden="1">'Ingredient Confirm'!$A$1:$F$406</definedName>
    <definedName name="_xlnm._FilterDatabase" localSheetId="7" hidden="1">Ingredient_Quantity_Confirm!$B$2:$H$292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2" i="5"/>
  <c r="I296" i="5"/>
  <c r="I300" i="5"/>
  <c r="I304" i="5"/>
  <c r="I308" i="5"/>
  <c r="I312" i="5"/>
  <c r="I316" i="5"/>
  <c r="I320" i="5"/>
  <c r="I324" i="5"/>
  <c r="I328" i="5"/>
  <c r="I332" i="5"/>
  <c r="I336" i="5"/>
  <c r="I340" i="5"/>
  <c r="I344" i="5"/>
  <c r="I348" i="5"/>
  <c r="I352" i="5"/>
  <c r="I356" i="5"/>
  <c r="I360" i="5"/>
  <c r="I364" i="5"/>
  <c r="I368" i="5"/>
  <c r="I372" i="5"/>
  <c r="I376" i="5"/>
  <c r="I380" i="5"/>
  <c r="I384" i="5"/>
  <c r="I388" i="5"/>
  <c r="I392" i="5"/>
  <c r="I396" i="5"/>
  <c r="I400" i="5"/>
  <c r="I404" i="5"/>
  <c r="I295" i="5"/>
  <c r="I301" i="5"/>
  <c r="I306" i="5"/>
  <c r="I311" i="5"/>
  <c r="I317" i="5"/>
  <c r="I322" i="5"/>
  <c r="I327" i="5"/>
  <c r="I333" i="5"/>
  <c r="I338" i="5"/>
  <c r="I343" i="5"/>
  <c r="I349" i="5"/>
  <c r="I354" i="5"/>
  <c r="I359" i="5"/>
  <c r="I365" i="5"/>
  <c r="I370" i="5"/>
  <c r="I375" i="5"/>
  <c r="I381" i="5"/>
  <c r="I386" i="5"/>
  <c r="I391" i="5"/>
  <c r="I397" i="5"/>
  <c r="I402" i="5"/>
  <c r="I297" i="5"/>
  <c r="I302" i="5"/>
  <c r="I307" i="5"/>
  <c r="I313" i="5"/>
  <c r="I318" i="5"/>
  <c r="I323" i="5"/>
  <c r="I329" i="5"/>
  <c r="I334" i="5"/>
  <c r="I339" i="5"/>
  <c r="I345" i="5"/>
  <c r="I350" i="5"/>
  <c r="I355" i="5"/>
  <c r="I361" i="5"/>
  <c r="I366" i="5"/>
  <c r="I371" i="5"/>
  <c r="I377" i="5"/>
  <c r="I382" i="5"/>
  <c r="I387" i="5"/>
  <c r="I393" i="5"/>
  <c r="I398" i="5"/>
  <c r="I403" i="5"/>
  <c r="I293" i="5"/>
  <c r="I298" i="5"/>
  <c r="I303" i="5"/>
  <c r="I309" i="5"/>
  <c r="I314" i="5"/>
  <c r="I319" i="5"/>
  <c r="I325" i="5"/>
  <c r="I330" i="5"/>
  <c r="I335" i="5"/>
  <c r="I341" i="5"/>
  <c r="I346" i="5"/>
  <c r="I351" i="5"/>
  <c r="I357" i="5"/>
  <c r="I362" i="5"/>
  <c r="I367" i="5"/>
  <c r="I373" i="5"/>
  <c r="I378" i="5"/>
  <c r="I383" i="5"/>
  <c r="I389" i="5"/>
  <c r="I394" i="5"/>
  <c r="I399" i="5"/>
  <c r="I405" i="5"/>
  <c r="I299" i="5"/>
  <c r="I321" i="5"/>
  <c r="I342" i="5"/>
  <c r="I363" i="5"/>
  <c r="I385" i="5"/>
  <c r="I406" i="5"/>
  <c r="I305" i="5"/>
  <c r="I326" i="5"/>
  <c r="I347" i="5"/>
  <c r="I369" i="5"/>
  <c r="I390" i="5"/>
  <c r="I310" i="5"/>
  <c r="I331" i="5"/>
  <c r="I353" i="5"/>
  <c r="I374" i="5"/>
  <c r="I395" i="5"/>
  <c r="I294" i="5"/>
  <c r="I315" i="5"/>
  <c r="I337" i="5"/>
  <c r="I358" i="5"/>
  <c r="I379" i="5"/>
  <c r="I401" i="5"/>
  <c r="I2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I291" i="5"/>
  <c r="I287" i="5"/>
  <c r="I283" i="5"/>
  <c r="I279" i="5"/>
  <c r="I275" i="5"/>
  <c r="I271" i="5"/>
  <c r="I267" i="5"/>
  <c r="I263" i="5"/>
  <c r="I259" i="5"/>
  <c r="I255" i="5"/>
  <c r="I251" i="5"/>
  <c r="I247" i="5"/>
  <c r="I243" i="5"/>
  <c r="I239" i="5"/>
  <c r="I235" i="5"/>
  <c r="I231" i="5"/>
  <c r="I227" i="5"/>
  <c r="I223" i="5"/>
  <c r="I219" i="5"/>
  <c r="I215" i="5"/>
  <c r="I211" i="5"/>
  <c r="I207" i="5"/>
  <c r="I203" i="5"/>
  <c r="I199" i="5"/>
  <c r="I195" i="5"/>
  <c r="I191" i="5"/>
  <c r="I187" i="5"/>
  <c r="I183" i="5"/>
  <c r="I179" i="5"/>
  <c r="I175" i="5"/>
  <c r="I171" i="5"/>
  <c r="I167" i="5"/>
  <c r="I163" i="5"/>
  <c r="I159" i="5"/>
  <c r="I155" i="5"/>
  <c r="I289" i="5"/>
  <c r="I285" i="5"/>
  <c r="I281" i="5"/>
  <c r="I277" i="5"/>
  <c r="I273" i="5"/>
  <c r="I269" i="5"/>
  <c r="I265" i="5"/>
  <c r="I261" i="5"/>
  <c r="I257" i="5"/>
  <c r="I253" i="5"/>
  <c r="I249" i="5"/>
  <c r="I245" i="5"/>
  <c r="I241" i="5"/>
  <c r="I237" i="5"/>
  <c r="I233" i="5"/>
  <c r="I229" i="5"/>
  <c r="I225" i="5"/>
  <c r="I221" i="5"/>
  <c r="I217" i="5"/>
  <c r="I213" i="5"/>
  <c r="I209" i="5"/>
  <c r="I205" i="5"/>
  <c r="I201" i="5"/>
  <c r="I197" i="5"/>
  <c r="I193" i="5"/>
  <c r="I189" i="5"/>
  <c r="I185" i="5"/>
  <c r="I181" i="5"/>
  <c r="I177" i="5"/>
  <c r="I173" i="5"/>
  <c r="I169" i="5"/>
  <c r="I165" i="5"/>
  <c r="I161" i="5"/>
  <c r="I157" i="5"/>
  <c r="I153" i="5"/>
  <c r="I149" i="5"/>
  <c r="I145" i="5"/>
  <c r="I141" i="5"/>
  <c r="I137" i="5"/>
  <c r="I133" i="5"/>
  <c r="I129" i="5"/>
  <c r="I125" i="5"/>
  <c r="I121" i="5"/>
  <c r="I117" i="5"/>
  <c r="I113" i="5"/>
  <c r="I109" i="5"/>
  <c r="I105" i="5"/>
  <c r="I101" i="5"/>
  <c r="I97" i="5"/>
  <c r="I93" i="5"/>
  <c r="I89" i="5"/>
  <c r="I85" i="5"/>
  <c r="I81" i="5"/>
  <c r="I77" i="5"/>
  <c r="I73" i="5"/>
  <c r="I69" i="5"/>
  <c r="I65" i="5"/>
  <c r="I61" i="5"/>
  <c r="I57" i="5"/>
  <c r="I53" i="5"/>
  <c r="I49" i="5"/>
  <c r="I45" i="5"/>
  <c r="I41" i="5"/>
  <c r="I37" i="5"/>
  <c r="I33" i="5"/>
  <c r="I29" i="5"/>
  <c r="I25" i="5"/>
  <c r="I21" i="5"/>
  <c r="I17" i="5"/>
  <c r="I13" i="5"/>
  <c r="I9" i="5"/>
  <c r="I5" i="5"/>
  <c r="I292" i="5"/>
  <c r="I288" i="5"/>
  <c r="I284" i="5"/>
  <c r="I280" i="5"/>
  <c r="I276" i="5"/>
  <c r="I272" i="5"/>
  <c r="I268" i="5"/>
  <c r="I264" i="5"/>
  <c r="I260" i="5"/>
  <c r="I256" i="5"/>
  <c r="I252" i="5"/>
  <c r="I248" i="5"/>
  <c r="I244" i="5"/>
  <c r="I240" i="5"/>
  <c r="I236" i="5"/>
  <c r="I232" i="5"/>
  <c r="I228" i="5"/>
  <c r="I224" i="5"/>
  <c r="I220" i="5"/>
  <c r="I216" i="5"/>
  <c r="I212" i="5"/>
  <c r="I208" i="5"/>
  <c r="I204" i="5"/>
  <c r="I200" i="5"/>
  <c r="I196" i="5"/>
  <c r="I192" i="5"/>
  <c r="I188" i="5"/>
  <c r="I184" i="5"/>
  <c r="I180" i="5"/>
  <c r="I176" i="5"/>
  <c r="I172" i="5"/>
  <c r="I168" i="5"/>
  <c r="I164" i="5"/>
  <c r="I160" i="5"/>
  <c r="I156" i="5"/>
  <c r="I152" i="5"/>
  <c r="I148" i="5"/>
  <c r="I144" i="5"/>
  <c r="I140" i="5"/>
  <c r="I136" i="5"/>
  <c r="I132" i="5"/>
  <c r="I128" i="5"/>
  <c r="I124" i="5"/>
  <c r="I120" i="5"/>
  <c r="I116" i="5"/>
  <c r="I112" i="5"/>
  <c r="I108" i="5"/>
  <c r="I104" i="5"/>
  <c r="I100" i="5"/>
  <c r="I96" i="5"/>
  <c r="I92" i="5"/>
  <c r="I88" i="5"/>
  <c r="I84" i="5"/>
  <c r="I80" i="5"/>
  <c r="I76" i="5"/>
  <c r="I68" i="5"/>
  <c r="I64" i="5"/>
  <c r="I60" i="5"/>
  <c r="I56" i="5"/>
  <c r="I52" i="5"/>
  <c r="I48" i="5"/>
  <c r="I44" i="5"/>
  <c r="I40" i="5"/>
  <c r="I36" i="5"/>
  <c r="I32" i="5"/>
  <c r="I28" i="5"/>
  <c r="I24" i="5"/>
  <c r="I20" i="5"/>
  <c r="I16" i="5"/>
  <c r="I12" i="5"/>
  <c r="I8" i="5"/>
  <c r="I4" i="5"/>
  <c r="I67" i="5"/>
  <c r="I59" i="5"/>
  <c r="I55" i="5"/>
  <c r="I47" i="5"/>
  <c r="I39" i="5"/>
  <c r="I35" i="5"/>
  <c r="I27" i="5"/>
  <c r="I23" i="5"/>
  <c r="I15" i="5"/>
  <c r="I11" i="5"/>
  <c r="I3" i="5"/>
  <c r="I194" i="5"/>
  <c r="I186" i="5"/>
  <c r="I182" i="5"/>
  <c r="I174" i="5"/>
  <c r="I170" i="5"/>
  <c r="I162" i="5"/>
  <c r="I158" i="5"/>
  <c r="I150" i="5"/>
  <c r="I142" i="5"/>
  <c r="I130" i="5"/>
  <c r="I126" i="5"/>
  <c r="I118" i="5"/>
  <c r="I110" i="5"/>
  <c r="I102" i="5"/>
  <c r="I94" i="5"/>
  <c r="I86" i="5"/>
  <c r="I78" i="5"/>
  <c r="I70" i="5"/>
  <c r="I62" i="5"/>
  <c r="I54" i="5"/>
  <c r="I50" i="5"/>
  <c r="I42" i="5"/>
  <c r="I38" i="5"/>
  <c r="I30" i="5"/>
  <c r="I26" i="5"/>
  <c r="I22" i="5"/>
  <c r="I14" i="5"/>
  <c r="I10" i="5"/>
  <c r="I151" i="5"/>
  <c r="I147" i="5"/>
  <c r="I143" i="5"/>
  <c r="I139" i="5"/>
  <c r="I135" i="5"/>
  <c r="I131" i="5"/>
  <c r="I127" i="5"/>
  <c r="I123" i="5"/>
  <c r="I119" i="5"/>
  <c r="I115" i="5"/>
  <c r="I111" i="5"/>
  <c r="I107" i="5"/>
  <c r="I103" i="5"/>
  <c r="I99" i="5"/>
  <c r="I95" i="5"/>
  <c r="I91" i="5"/>
  <c r="I87" i="5"/>
  <c r="I83" i="5"/>
  <c r="I79" i="5"/>
  <c r="I75" i="5"/>
  <c r="I71" i="5"/>
  <c r="I63" i="5"/>
  <c r="I51" i="5"/>
  <c r="I43" i="5"/>
  <c r="I31" i="5"/>
  <c r="I19" i="5"/>
  <c r="I7" i="5"/>
  <c r="I190" i="5"/>
  <c r="I178" i="5"/>
  <c r="I166" i="5"/>
  <c r="I154" i="5"/>
  <c r="I146" i="5"/>
  <c r="I134" i="5"/>
  <c r="I122" i="5"/>
  <c r="I106" i="5"/>
  <c r="I98" i="5"/>
  <c r="I82" i="5"/>
  <c r="I66" i="5"/>
  <c r="I290" i="5"/>
  <c r="I286" i="5"/>
  <c r="I282" i="5"/>
  <c r="I278" i="5"/>
  <c r="I274" i="5"/>
  <c r="I270" i="5"/>
  <c r="I266" i="5"/>
  <c r="I262" i="5"/>
  <c r="I258" i="5"/>
  <c r="I254" i="5"/>
  <c r="I250" i="5"/>
  <c r="I246" i="5"/>
  <c r="I242" i="5"/>
  <c r="I238" i="5"/>
  <c r="I234" i="5"/>
  <c r="I230" i="5"/>
  <c r="I226" i="5"/>
  <c r="I222" i="5"/>
  <c r="I218" i="5"/>
  <c r="I214" i="5"/>
  <c r="I210" i="5"/>
  <c r="I206" i="5"/>
  <c r="I202" i="5"/>
  <c r="I198" i="5"/>
  <c r="I138" i="5"/>
  <c r="I114" i="5"/>
  <c r="I90" i="5"/>
  <c r="I74" i="5"/>
  <c r="I58" i="5"/>
  <c r="I46" i="5"/>
  <c r="I34" i="5"/>
  <c r="I18" i="5"/>
  <c r="I6" i="5"/>
  <c r="I72" i="5"/>
  <c r="I27" i="8" l="1"/>
  <c r="I26" i="8"/>
  <c r="H26" i="8"/>
  <c r="H27" i="8"/>
  <c r="I5" i="8" l="1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5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4" i="8"/>
  <c r="B159" i="7"/>
  <c r="E159" i="7" s="1"/>
  <c r="D159" i="7"/>
  <c r="B160" i="7"/>
  <c r="E160" i="7" s="1"/>
  <c r="D160" i="7"/>
  <c r="B161" i="7"/>
  <c r="E161" i="7" s="1"/>
  <c r="D161" i="7"/>
  <c r="B162" i="7"/>
  <c r="E162" i="7" s="1"/>
  <c r="D162" i="7"/>
  <c r="B163" i="7"/>
  <c r="E163" i="7" s="1"/>
  <c r="D163" i="7"/>
  <c r="B164" i="7"/>
  <c r="E164" i="7" s="1"/>
  <c r="D164" i="7"/>
  <c r="B165" i="7"/>
  <c r="E165" i="7" s="1"/>
  <c r="D165" i="7"/>
  <c r="B166" i="7"/>
  <c r="E166" i="7" s="1"/>
  <c r="D166" i="7"/>
  <c r="B167" i="7"/>
  <c r="E167" i="7" s="1"/>
  <c r="D167" i="7"/>
  <c r="B168" i="7"/>
  <c r="E168" i="7" s="1"/>
  <c r="D168" i="7"/>
  <c r="B169" i="7"/>
  <c r="E169" i="7" s="1"/>
  <c r="D169" i="7"/>
  <c r="B170" i="7"/>
  <c r="E170" i="7" s="1"/>
  <c r="D170" i="7"/>
  <c r="B171" i="7"/>
  <c r="E171" i="7" s="1"/>
  <c r="D171" i="7"/>
  <c r="B172" i="7"/>
  <c r="E172" i="7" s="1"/>
  <c r="D172" i="7"/>
  <c r="B173" i="7"/>
  <c r="E173" i="7" s="1"/>
  <c r="D173" i="7"/>
  <c r="B174" i="7"/>
  <c r="E174" i="7" s="1"/>
  <c r="D174" i="7"/>
  <c r="B175" i="7"/>
  <c r="E175" i="7" s="1"/>
  <c r="D175" i="7"/>
  <c r="B176" i="7"/>
  <c r="E176" i="7" s="1"/>
  <c r="D176" i="7"/>
  <c r="B177" i="7"/>
  <c r="E177" i="7" s="1"/>
  <c r="D177" i="7"/>
  <c r="B178" i="7"/>
  <c r="E178" i="7" s="1"/>
  <c r="D178" i="7"/>
  <c r="B179" i="7"/>
  <c r="E179" i="7" s="1"/>
  <c r="D179" i="7"/>
  <c r="B180" i="7"/>
  <c r="E180" i="7" s="1"/>
  <c r="D180" i="7"/>
  <c r="B181" i="7"/>
  <c r="E181" i="7" s="1"/>
  <c r="D181" i="7"/>
  <c r="B182" i="7"/>
  <c r="E182" i="7" s="1"/>
  <c r="D182" i="7"/>
  <c r="B183" i="7"/>
  <c r="E183" i="7" s="1"/>
  <c r="D183" i="7"/>
  <c r="B184" i="7"/>
  <c r="E184" i="7" s="1"/>
  <c r="D184" i="7"/>
  <c r="B185" i="7"/>
  <c r="E185" i="7" s="1"/>
  <c r="D185" i="7"/>
  <c r="B186" i="7"/>
  <c r="E186" i="7" s="1"/>
  <c r="D186" i="7"/>
  <c r="B187" i="7"/>
  <c r="E187" i="7" s="1"/>
  <c r="D187" i="7"/>
  <c r="B188" i="7"/>
  <c r="E188" i="7" s="1"/>
  <c r="D188" i="7"/>
  <c r="B189" i="7"/>
  <c r="E189" i="7" s="1"/>
  <c r="D189" i="7"/>
  <c r="B190" i="7"/>
  <c r="E190" i="7" s="1"/>
  <c r="D190" i="7"/>
  <c r="B191" i="7"/>
  <c r="E191" i="7" s="1"/>
  <c r="D191" i="7"/>
  <c r="B192" i="7"/>
  <c r="E192" i="7" s="1"/>
  <c r="D192" i="7"/>
  <c r="B193" i="7"/>
  <c r="E193" i="7" s="1"/>
  <c r="D193" i="7"/>
  <c r="B194" i="7"/>
  <c r="E194" i="7" s="1"/>
  <c r="D194" i="7"/>
  <c r="B195" i="7"/>
  <c r="E195" i="7" s="1"/>
  <c r="D195" i="7"/>
  <c r="B196" i="7"/>
  <c r="E196" i="7" s="1"/>
  <c r="D196" i="7"/>
  <c r="B197" i="7"/>
  <c r="E197" i="7" s="1"/>
  <c r="D197" i="7"/>
  <c r="B198" i="7"/>
  <c r="E198" i="7" s="1"/>
  <c r="D198" i="7"/>
  <c r="B199" i="7"/>
  <c r="E199" i="7" s="1"/>
  <c r="D199" i="7"/>
  <c r="B200" i="7"/>
  <c r="E200" i="7" s="1"/>
  <c r="D200" i="7"/>
  <c r="B201" i="7"/>
  <c r="E201" i="7" s="1"/>
  <c r="D201" i="7"/>
  <c r="B202" i="7"/>
  <c r="E202" i="7" s="1"/>
  <c r="D202" i="7"/>
  <c r="B203" i="7"/>
  <c r="E203" i="7" s="1"/>
  <c r="D203" i="7"/>
  <c r="B204" i="7"/>
  <c r="E204" i="7" s="1"/>
  <c r="D204" i="7"/>
  <c r="B205" i="7"/>
  <c r="E205" i="7" s="1"/>
  <c r="D205" i="7"/>
  <c r="B206" i="7"/>
  <c r="E206" i="7" s="1"/>
  <c r="D206" i="7"/>
  <c r="B207" i="7"/>
  <c r="E207" i="7" s="1"/>
  <c r="D207" i="7"/>
  <c r="B208" i="7"/>
  <c r="E208" i="7" s="1"/>
  <c r="D208" i="7"/>
  <c r="B209" i="7"/>
  <c r="E209" i="7" s="1"/>
  <c r="D209" i="7"/>
  <c r="B210" i="7"/>
  <c r="E210" i="7" s="1"/>
  <c r="D210" i="7"/>
  <c r="B211" i="7"/>
  <c r="E211" i="7" s="1"/>
  <c r="D211" i="7"/>
  <c r="B212" i="7"/>
  <c r="E212" i="7" s="1"/>
  <c r="D212" i="7"/>
  <c r="B213" i="7"/>
  <c r="E213" i="7" s="1"/>
  <c r="D213" i="7"/>
  <c r="B214" i="7"/>
  <c r="E214" i="7" s="1"/>
  <c r="D214" i="7"/>
  <c r="B215" i="7"/>
  <c r="E215" i="7" s="1"/>
  <c r="D215" i="7"/>
  <c r="B216" i="7"/>
  <c r="E216" i="7" s="1"/>
  <c r="D216" i="7"/>
  <c r="B217" i="7"/>
  <c r="E217" i="7" s="1"/>
  <c r="D217" i="7"/>
  <c r="B218" i="7"/>
  <c r="E218" i="7" s="1"/>
  <c r="D218" i="7"/>
  <c r="B219" i="7"/>
  <c r="E219" i="7" s="1"/>
  <c r="D219" i="7"/>
  <c r="B220" i="7"/>
  <c r="E220" i="7" s="1"/>
  <c r="D220" i="7"/>
  <c r="B221" i="7"/>
  <c r="E221" i="7" s="1"/>
  <c r="D221" i="7"/>
  <c r="B222" i="7"/>
  <c r="E222" i="7" s="1"/>
  <c r="D222" i="7"/>
  <c r="B223" i="7"/>
  <c r="E223" i="7" s="1"/>
  <c r="D223" i="7"/>
  <c r="B224" i="7"/>
  <c r="E224" i="7" s="1"/>
  <c r="D224" i="7"/>
  <c r="B225" i="7"/>
  <c r="E225" i="7" s="1"/>
  <c r="D225" i="7"/>
  <c r="B226" i="7"/>
  <c r="E226" i="7" s="1"/>
  <c r="D226" i="7"/>
  <c r="B227" i="7"/>
  <c r="E227" i="7" s="1"/>
  <c r="D227" i="7"/>
  <c r="B228" i="7"/>
  <c r="E228" i="7" s="1"/>
  <c r="D228" i="7"/>
  <c r="B229" i="7"/>
  <c r="E229" i="7" s="1"/>
  <c r="D229" i="7"/>
  <c r="B230" i="7"/>
  <c r="E230" i="7" s="1"/>
  <c r="D230" i="7"/>
  <c r="B231" i="7"/>
  <c r="E231" i="7" s="1"/>
  <c r="D231" i="7"/>
  <c r="B232" i="7"/>
  <c r="E232" i="7" s="1"/>
  <c r="D232" i="7"/>
  <c r="B233" i="7"/>
  <c r="E233" i="7" s="1"/>
  <c r="D233" i="7"/>
  <c r="B234" i="7"/>
  <c r="E234" i="7" s="1"/>
  <c r="D234" i="7"/>
  <c r="B235" i="7"/>
  <c r="E235" i="7" s="1"/>
  <c r="D235" i="7"/>
  <c r="B236" i="7"/>
  <c r="E236" i="7" s="1"/>
  <c r="D236" i="7"/>
  <c r="B237" i="7"/>
  <c r="E237" i="7" s="1"/>
  <c r="D237" i="7"/>
  <c r="B238" i="7"/>
  <c r="E238" i="7" s="1"/>
  <c r="D238" i="7"/>
  <c r="B239" i="7"/>
  <c r="E239" i="7" s="1"/>
  <c r="D239" i="7"/>
  <c r="B240" i="7"/>
  <c r="E240" i="7" s="1"/>
  <c r="D240" i="7"/>
  <c r="B241" i="7"/>
  <c r="E241" i="7" s="1"/>
  <c r="D241" i="7"/>
  <c r="B242" i="7"/>
  <c r="E242" i="7" s="1"/>
  <c r="D242" i="7"/>
  <c r="B243" i="7"/>
  <c r="E243" i="7" s="1"/>
  <c r="D243" i="7"/>
  <c r="B244" i="7"/>
  <c r="E244" i="7" s="1"/>
  <c r="D244" i="7"/>
  <c r="B245" i="7"/>
  <c r="E245" i="7" s="1"/>
  <c r="D245" i="7"/>
  <c r="B246" i="7"/>
  <c r="E246" i="7" s="1"/>
  <c r="D246" i="7"/>
  <c r="B247" i="7"/>
  <c r="E247" i="7" s="1"/>
  <c r="D247" i="7"/>
  <c r="B248" i="7"/>
  <c r="E248" i="7" s="1"/>
  <c r="D248" i="7"/>
  <c r="B249" i="7"/>
  <c r="E249" i="7" s="1"/>
  <c r="D249" i="7"/>
  <c r="B250" i="7"/>
  <c r="E250" i="7" s="1"/>
  <c r="D250" i="7"/>
  <c r="B251" i="7"/>
  <c r="E251" i="7" s="1"/>
  <c r="D251" i="7"/>
  <c r="B252" i="7"/>
  <c r="E252" i="7" s="1"/>
  <c r="D252" i="7"/>
  <c r="B253" i="7"/>
  <c r="E253" i="7" s="1"/>
  <c r="D253" i="7"/>
  <c r="B254" i="7"/>
  <c r="E254" i="7" s="1"/>
  <c r="D254" i="7"/>
  <c r="B255" i="7"/>
  <c r="E255" i="7" s="1"/>
  <c r="D255" i="7"/>
  <c r="B256" i="7"/>
  <c r="E256" i="7" s="1"/>
  <c r="D256" i="7"/>
  <c r="B257" i="7"/>
  <c r="E257" i="7" s="1"/>
  <c r="D257" i="7"/>
  <c r="B258" i="7"/>
  <c r="E258" i="7" s="1"/>
  <c r="D258" i="7"/>
  <c r="B259" i="7"/>
  <c r="E259" i="7" s="1"/>
  <c r="D259" i="7"/>
  <c r="B260" i="7"/>
  <c r="E260" i="7" s="1"/>
  <c r="D260" i="7"/>
  <c r="B261" i="7"/>
  <c r="E261" i="7" s="1"/>
  <c r="D261" i="7"/>
  <c r="B262" i="7"/>
  <c r="E262" i="7" s="1"/>
  <c r="D262" i="7"/>
  <c r="B263" i="7"/>
  <c r="E263" i="7" s="1"/>
  <c r="D263" i="7"/>
  <c r="B264" i="7"/>
  <c r="E264" i="7" s="1"/>
  <c r="D264" i="7"/>
  <c r="B265" i="7"/>
  <c r="E265" i="7" s="1"/>
  <c r="D265" i="7"/>
  <c r="B266" i="7"/>
  <c r="E266" i="7" s="1"/>
  <c r="D266" i="7"/>
  <c r="B267" i="7"/>
  <c r="E267" i="7" s="1"/>
  <c r="D267" i="7"/>
  <c r="B268" i="7"/>
  <c r="E268" i="7" s="1"/>
  <c r="D268" i="7"/>
  <c r="B269" i="7"/>
  <c r="E269" i="7" s="1"/>
  <c r="D269" i="7"/>
  <c r="B270" i="7"/>
  <c r="E270" i="7" s="1"/>
  <c r="D270" i="7"/>
  <c r="B271" i="7"/>
  <c r="E271" i="7" s="1"/>
  <c r="D271" i="7"/>
  <c r="B272" i="7"/>
  <c r="E272" i="7" s="1"/>
  <c r="D272" i="7"/>
  <c r="B273" i="7"/>
  <c r="E273" i="7" s="1"/>
  <c r="D273" i="7"/>
  <c r="B274" i="7"/>
  <c r="E274" i="7" s="1"/>
  <c r="D274" i="7"/>
  <c r="B275" i="7"/>
  <c r="E275" i="7" s="1"/>
  <c r="D275" i="7"/>
  <c r="B276" i="7"/>
  <c r="E276" i="7" s="1"/>
  <c r="D276" i="7"/>
  <c r="B277" i="7"/>
  <c r="E277" i="7" s="1"/>
  <c r="D277" i="7"/>
  <c r="B278" i="7"/>
  <c r="E278" i="7" s="1"/>
  <c r="D278" i="7"/>
  <c r="B279" i="7"/>
  <c r="E279" i="7" s="1"/>
  <c r="D279" i="7"/>
  <c r="B280" i="7"/>
  <c r="E280" i="7" s="1"/>
  <c r="D280" i="7"/>
  <c r="B281" i="7"/>
  <c r="E281" i="7" s="1"/>
  <c r="D281" i="7"/>
  <c r="B282" i="7"/>
  <c r="E282" i="7" s="1"/>
  <c r="D282" i="7"/>
  <c r="B283" i="7"/>
  <c r="E283" i="7" s="1"/>
  <c r="D283" i="7"/>
  <c r="B284" i="7"/>
  <c r="E284" i="7" s="1"/>
  <c r="D284" i="7"/>
  <c r="B285" i="7"/>
  <c r="E285" i="7" s="1"/>
  <c r="D285" i="7"/>
  <c r="B286" i="7"/>
  <c r="E286" i="7" s="1"/>
  <c r="D286" i="7"/>
  <c r="B287" i="7"/>
  <c r="E287" i="7" s="1"/>
  <c r="D287" i="7"/>
  <c r="B288" i="7"/>
  <c r="E288" i="7" s="1"/>
  <c r="D288" i="7"/>
  <c r="B289" i="7"/>
  <c r="E289" i="7" s="1"/>
  <c r="D289" i="7"/>
  <c r="B290" i="7"/>
  <c r="E290" i="7" s="1"/>
  <c r="D290" i="7"/>
  <c r="B291" i="7"/>
  <c r="E291" i="7" s="1"/>
  <c r="D291" i="7"/>
  <c r="B292" i="7"/>
  <c r="E292" i="7" s="1"/>
  <c r="D292" i="7"/>
  <c r="B293" i="7"/>
  <c r="E293" i="7" s="1"/>
  <c r="D293" i="7"/>
  <c r="B294" i="7"/>
  <c r="E294" i="7" s="1"/>
  <c r="D294" i="7"/>
  <c r="B295" i="7"/>
  <c r="E295" i="7" s="1"/>
  <c r="D295" i="7"/>
  <c r="B296" i="7"/>
  <c r="E296" i="7" s="1"/>
  <c r="D296" i="7"/>
  <c r="B297" i="7"/>
  <c r="E297" i="7" s="1"/>
  <c r="D297" i="7"/>
  <c r="B298" i="7"/>
  <c r="E298" i="7" s="1"/>
  <c r="D298" i="7"/>
  <c r="B299" i="7"/>
  <c r="E299" i="7" s="1"/>
  <c r="D299" i="7"/>
  <c r="B300" i="7"/>
  <c r="E300" i="7" s="1"/>
  <c r="D300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3" i="7"/>
  <c r="B25" i="7"/>
  <c r="E25" i="7" s="1"/>
  <c r="B26" i="7"/>
  <c r="E26" i="7" s="1"/>
  <c r="B27" i="7"/>
  <c r="E27" i="7" s="1"/>
  <c r="B28" i="7"/>
  <c r="E28" i="7" s="1"/>
  <c r="B29" i="7"/>
  <c r="E29" i="7" s="1"/>
  <c r="B30" i="7"/>
  <c r="E30" i="7" s="1"/>
  <c r="B31" i="7"/>
  <c r="E31" i="7" s="1"/>
  <c r="B32" i="7"/>
  <c r="E32" i="7" s="1"/>
  <c r="B33" i="7"/>
  <c r="E33" i="7" s="1"/>
  <c r="B34" i="7"/>
  <c r="E34" i="7" s="1"/>
  <c r="B35" i="7"/>
  <c r="E35" i="7" s="1"/>
  <c r="B36" i="7"/>
  <c r="E36" i="7" s="1"/>
  <c r="B37" i="7"/>
  <c r="E37" i="7" s="1"/>
  <c r="B38" i="7"/>
  <c r="E38" i="7" s="1"/>
  <c r="B39" i="7"/>
  <c r="E39" i="7" s="1"/>
  <c r="B40" i="7"/>
  <c r="E40" i="7" s="1"/>
  <c r="B41" i="7"/>
  <c r="E41" i="7" s="1"/>
  <c r="B42" i="7"/>
  <c r="E42" i="7" s="1"/>
  <c r="B43" i="7"/>
  <c r="E43" i="7" s="1"/>
  <c r="B44" i="7"/>
  <c r="E44" i="7" s="1"/>
  <c r="B45" i="7"/>
  <c r="E45" i="7" s="1"/>
  <c r="B46" i="7"/>
  <c r="E46" i="7" s="1"/>
  <c r="B47" i="7"/>
  <c r="E47" i="7" s="1"/>
  <c r="B48" i="7"/>
  <c r="E48" i="7" s="1"/>
  <c r="B49" i="7"/>
  <c r="E49" i="7" s="1"/>
  <c r="B50" i="7"/>
  <c r="E50" i="7" s="1"/>
  <c r="B51" i="7"/>
  <c r="E51" i="7" s="1"/>
  <c r="B52" i="7"/>
  <c r="E52" i="7" s="1"/>
  <c r="B53" i="7"/>
  <c r="E53" i="7" s="1"/>
  <c r="B54" i="7"/>
  <c r="E54" i="7" s="1"/>
  <c r="B55" i="7"/>
  <c r="E55" i="7" s="1"/>
  <c r="B56" i="7"/>
  <c r="E56" i="7" s="1"/>
  <c r="B57" i="7"/>
  <c r="E57" i="7" s="1"/>
  <c r="B58" i="7"/>
  <c r="E58" i="7" s="1"/>
  <c r="B59" i="7"/>
  <c r="E59" i="7" s="1"/>
  <c r="B60" i="7"/>
  <c r="E60" i="7" s="1"/>
  <c r="B61" i="7"/>
  <c r="E61" i="7" s="1"/>
  <c r="B62" i="7"/>
  <c r="E62" i="7" s="1"/>
  <c r="B63" i="7"/>
  <c r="E63" i="7" s="1"/>
  <c r="B64" i="7"/>
  <c r="E64" i="7" s="1"/>
  <c r="B65" i="7"/>
  <c r="E65" i="7" s="1"/>
  <c r="B66" i="7"/>
  <c r="E66" i="7" s="1"/>
  <c r="B67" i="7"/>
  <c r="E67" i="7" s="1"/>
  <c r="B68" i="7"/>
  <c r="E68" i="7" s="1"/>
  <c r="B69" i="7"/>
  <c r="E69" i="7" s="1"/>
  <c r="B70" i="7"/>
  <c r="E70" i="7" s="1"/>
  <c r="B71" i="7"/>
  <c r="E71" i="7" s="1"/>
  <c r="B72" i="7"/>
  <c r="E72" i="7" s="1"/>
  <c r="B73" i="7"/>
  <c r="E73" i="7" s="1"/>
  <c r="B74" i="7"/>
  <c r="E74" i="7" s="1"/>
  <c r="B75" i="7"/>
  <c r="E75" i="7" s="1"/>
  <c r="B76" i="7"/>
  <c r="E76" i="7" s="1"/>
  <c r="B77" i="7"/>
  <c r="E77" i="7" s="1"/>
  <c r="B78" i="7"/>
  <c r="E78" i="7" s="1"/>
  <c r="B79" i="7"/>
  <c r="E79" i="7" s="1"/>
  <c r="B80" i="7"/>
  <c r="E80" i="7" s="1"/>
  <c r="B81" i="7"/>
  <c r="E81" i="7" s="1"/>
  <c r="B82" i="7"/>
  <c r="E82" i="7" s="1"/>
  <c r="B83" i="7"/>
  <c r="E83" i="7" s="1"/>
  <c r="B84" i="7"/>
  <c r="E84" i="7" s="1"/>
  <c r="B85" i="7"/>
  <c r="E85" i="7" s="1"/>
  <c r="B86" i="7"/>
  <c r="E86" i="7" s="1"/>
  <c r="B87" i="7"/>
  <c r="E87" i="7" s="1"/>
  <c r="B88" i="7"/>
  <c r="E88" i="7" s="1"/>
  <c r="B89" i="7"/>
  <c r="E89" i="7" s="1"/>
  <c r="B90" i="7"/>
  <c r="E90" i="7" s="1"/>
  <c r="B91" i="7"/>
  <c r="E91" i="7" s="1"/>
  <c r="B92" i="7"/>
  <c r="E92" i="7" s="1"/>
  <c r="B93" i="7"/>
  <c r="E93" i="7" s="1"/>
  <c r="B94" i="7"/>
  <c r="E94" i="7" s="1"/>
  <c r="B95" i="7"/>
  <c r="E95" i="7" s="1"/>
  <c r="B96" i="7"/>
  <c r="E96" i="7" s="1"/>
  <c r="B97" i="7"/>
  <c r="E97" i="7" s="1"/>
  <c r="B98" i="7"/>
  <c r="E98" i="7" s="1"/>
  <c r="B99" i="7"/>
  <c r="E99" i="7" s="1"/>
  <c r="B100" i="7"/>
  <c r="E100" i="7" s="1"/>
  <c r="B101" i="7"/>
  <c r="E101" i="7" s="1"/>
  <c r="B102" i="7"/>
  <c r="E102" i="7" s="1"/>
  <c r="B103" i="7"/>
  <c r="E103" i="7" s="1"/>
  <c r="B104" i="7"/>
  <c r="E104" i="7" s="1"/>
  <c r="B105" i="7"/>
  <c r="E105" i="7" s="1"/>
  <c r="B106" i="7"/>
  <c r="E106" i="7" s="1"/>
  <c r="B107" i="7"/>
  <c r="E107" i="7" s="1"/>
  <c r="B108" i="7"/>
  <c r="E108" i="7" s="1"/>
  <c r="B109" i="7"/>
  <c r="E109" i="7" s="1"/>
  <c r="B110" i="7"/>
  <c r="E110" i="7" s="1"/>
  <c r="B111" i="7"/>
  <c r="E111" i="7" s="1"/>
  <c r="B112" i="7"/>
  <c r="E112" i="7" s="1"/>
  <c r="B113" i="7"/>
  <c r="E113" i="7" s="1"/>
  <c r="B114" i="7"/>
  <c r="E114" i="7" s="1"/>
  <c r="B115" i="7"/>
  <c r="E115" i="7" s="1"/>
  <c r="B116" i="7"/>
  <c r="E116" i="7" s="1"/>
  <c r="B117" i="7"/>
  <c r="E117" i="7" s="1"/>
  <c r="B118" i="7"/>
  <c r="E118" i="7" s="1"/>
  <c r="B119" i="7"/>
  <c r="E119" i="7" s="1"/>
  <c r="B120" i="7"/>
  <c r="E120" i="7" s="1"/>
  <c r="B121" i="7"/>
  <c r="E121" i="7" s="1"/>
  <c r="B122" i="7"/>
  <c r="E122" i="7" s="1"/>
  <c r="B123" i="7"/>
  <c r="E123" i="7" s="1"/>
  <c r="B124" i="7"/>
  <c r="E124" i="7" s="1"/>
  <c r="B125" i="7"/>
  <c r="E125" i="7" s="1"/>
  <c r="B126" i="7"/>
  <c r="E126" i="7" s="1"/>
  <c r="B127" i="7"/>
  <c r="E127" i="7" s="1"/>
  <c r="B128" i="7"/>
  <c r="E128" i="7" s="1"/>
  <c r="B129" i="7"/>
  <c r="E129" i="7" s="1"/>
  <c r="B130" i="7"/>
  <c r="E130" i="7" s="1"/>
  <c r="B131" i="7"/>
  <c r="E131" i="7" s="1"/>
  <c r="B132" i="7"/>
  <c r="E132" i="7" s="1"/>
  <c r="B133" i="7"/>
  <c r="E133" i="7" s="1"/>
  <c r="B134" i="7"/>
  <c r="E134" i="7" s="1"/>
  <c r="B135" i="7"/>
  <c r="E135" i="7" s="1"/>
  <c r="B136" i="7"/>
  <c r="E136" i="7" s="1"/>
  <c r="B137" i="7"/>
  <c r="E137" i="7" s="1"/>
  <c r="B138" i="7"/>
  <c r="E138" i="7" s="1"/>
  <c r="B139" i="7"/>
  <c r="E139" i="7" s="1"/>
  <c r="B140" i="7"/>
  <c r="E140" i="7" s="1"/>
  <c r="B141" i="7"/>
  <c r="E141" i="7" s="1"/>
  <c r="B142" i="7"/>
  <c r="E142" i="7" s="1"/>
  <c r="B143" i="7"/>
  <c r="E143" i="7" s="1"/>
  <c r="B144" i="7"/>
  <c r="E144" i="7" s="1"/>
  <c r="B145" i="7"/>
  <c r="E145" i="7" s="1"/>
  <c r="B146" i="7"/>
  <c r="E146" i="7" s="1"/>
  <c r="B147" i="7"/>
  <c r="E147" i="7" s="1"/>
  <c r="B148" i="7"/>
  <c r="E148" i="7" s="1"/>
  <c r="B149" i="7"/>
  <c r="E149" i="7" s="1"/>
  <c r="B150" i="7"/>
  <c r="E150" i="7" s="1"/>
  <c r="B151" i="7"/>
  <c r="E151" i="7" s="1"/>
  <c r="B152" i="7"/>
  <c r="E152" i="7" s="1"/>
  <c r="B153" i="7"/>
  <c r="E153" i="7" s="1"/>
  <c r="B154" i="7"/>
  <c r="E154" i="7" s="1"/>
  <c r="B155" i="7"/>
  <c r="E155" i="7" s="1"/>
  <c r="B156" i="7"/>
  <c r="E156" i="7" s="1"/>
  <c r="B157" i="7"/>
  <c r="E157" i="7" s="1"/>
  <c r="B158" i="7"/>
  <c r="E158" i="7" s="1"/>
  <c r="B4" i="7"/>
  <c r="E4" i="7" s="1"/>
  <c r="B5" i="7"/>
  <c r="E5" i="7" s="1"/>
  <c r="B6" i="7"/>
  <c r="E6" i="7" s="1"/>
  <c r="B7" i="7"/>
  <c r="E7" i="7" s="1"/>
  <c r="B8" i="7"/>
  <c r="E8" i="7" s="1"/>
  <c r="B9" i="7"/>
  <c r="E9" i="7" s="1"/>
  <c r="B10" i="7"/>
  <c r="E10" i="7" s="1"/>
  <c r="B11" i="7"/>
  <c r="E11" i="7" s="1"/>
  <c r="B12" i="7"/>
  <c r="E12" i="7" s="1"/>
  <c r="B13" i="7"/>
  <c r="E13" i="7" s="1"/>
  <c r="B14" i="7"/>
  <c r="E14" i="7" s="1"/>
  <c r="B15" i="7"/>
  <c r="E15" i="7" s="1"/>
  <c r="B16" i="7"/>
  <c r="E16" i="7" s="1"/>
  <c r="B17" i="7"/>
  <c r="E17" i="7" s="1"/>
  <c r="B18" i="7"/>
  <c r="E18" i="7" s="1"/>
  <c r="B19" i="7"/>
  <c r="E19" i="7" s="1"/>
  <c r="B20" i="7"/>
  <c r="E20" i="7" s="1"/>
  <c r="B21" i="7"/>
  <c r="E21" i="7" s="1"/>
  <c r="B22" i="7"/>
  <c r="E22" i="7" s="1"/>
  <c r="B23" i="7"/>
  <c r="E23" i="7" s="1"/>
  <c r="B24" i="7"/>
  <c r="E24" i="7" s="1"/>
  <c r="B3" i="7"/>
  <c r="E3" i="7" s="1"/>
  <c r="D70" i="3"/>
  <c r="E70" i="3" s="1"/>
  <c r="D71" i="3"/>
  <c r="D72" i="3"/>
  <c r="E72" i="3" s="1"/>
  <c r="D73" i="3"/>
  <c r="D74" i="3"/>
  <c r="E74" i="3" s="1"/>
  <c r="D75" i="3"/>
  <c r="D76" i="3"/>
  <c r="E76" i="3" s="1"/>
  <c r="D77" i="3"/>
  <c r="D78" i="3"/>
  <c r="E78" i="3" s="1"/>
  <c r="D79" i="3"/>
  <c r="D80" i="3"/>
  <c r="E80" i="3" s="1"/>
  <c r="D81" i="3"/>
  <c r="D82" i="3"/>
  <c r="E82" i="3" s="1"/>
  <c r="D83" i="3"/>
  <c r="D84" i="3"/>
  <c r="E84" i="3" s="1"/>
  <c r="D85" i="3"/>
  <c r="D86" i="3"/>
  <c r="E86" i="3" s="1"/>
  <c r="D87" i="3"/>
  <c r="D88" i="3"/>
  <c r="E88" i="3" s="1"/>
  <c r="D89" i="3"/>
  <c r="D90" i="3"/>
  <c r="E90" i="3" s="1"/>
  <c r="D91" i="3"/>
  <c r="D92" i="3"/>
  <c r="E92" i="3" s="1"/>
  <c r="D93" i="3"/>
  <c r="D94" i="3"/>
  <c r="E94" i="3" s="1"/>
  <c r="D95" i="3"/>
  <c r="D96" i="3"/>
  <c r="E96" i="3" s="1"/>
  <c r="D97" i="3"/>
  <c r="D98" i="3"/>
  <c r="E98" i="3" s="1"/>
  <c r="D99" i="3"/>
  <c r="D100" i="3"/>
  <c r="E100" i="3" s="1"/>
  <c r="D101" i="3"/>
  <c r="D102" i="3"/>
  <c r="E102" i="3" s="1"/>
  <c r="D103" i="3"/>
  <c r="D104" i="3"/>
  <c r="E104" i="3" s="1"/>
  <c r="D105" i="3"/>
  <c r="D106" i="3"/>
  <c r="E106" i="3" s="1"/>
  <c r="D107" i="3"/>
  <c r="D108" i="3"/>
  <c r="E108" i="3" s="1"/>
  <c r="D109" i="3"/>
  <c r="D110" i="3"/>
  <c r="E110" i="3" s="1"/>
  <c r="D111" i="3"/>
  <c r="D22" i="3"/>
  <c r="E22" i="3" s="1"/>
  <c r="D23" i="3"/>
  <c r="E23" i="3" s="1"/>
  <c r="D24" i="3"/>
  <c r="D25" i="3"/>
  <c r="E25" i="3" s="1"/>
  <c r="D26" i="3"/>
  <c r="E26" i="3" s="1"/>
  <c r="D27" i="3"/>
  <c r="E27" i="3" s="1"/>
  <c r="D28" i="3"/>
  <c r="D29" i="3"/>
  <c r="E29" i="3" s="1"/>
  <c r="D30" i="3"/>
  <c r="E30" i="3" s="1"/>
  <c r="D31" i="3"/>
  <c r="E31" i="3" s="1"/>
  <c r="D32" i="3"/>
  <c r="D33" i="3"/>
  <c r="E33" i="3" s="1"/>
  <c r="D34" i="3"/>
  <c r="E34" i="3" s="1"/>
  <c r="D35" i="3"/>
  <c r="E35" i="3" s="1"/>
  <c r="D36" i="3"/>
  <c r="D37" i="3"/>
  <c r="E37" i="3" s="1"/>
  <c r="D38" i="3"/>
  <c r="E38" i="3" s="1"/>
  <c r="D39" i="3"/>
  <c r="D40" i="3"/>
  <c r="D41" i="3"/>
  <c r="E41" i="3" s="1"/>
  <c r="D42" i="3"/>
  <c r="E42" i="3" s="1"/>
  <c r="D43" i="3"/>
  <c r="D44" i="3"/>
  <c r="D45" i="3"/>
  <c r="E45" i="3" s="1"/>
  <c r="D46" i="3"/>
  <c r="E46" i="3" s="1"/>
  <c r="D47" i="3"/>
  <c r="D48" i="3"/>
  <c r="D49" i="3"/>
  <c r="E49" i="3" s="1"/>
  <c r="D50" i="3"/>
  <c r="E50" i="3" s="1"/>
  <c r="D51" i="3"/>
  <c r="D52" i="3"/>
  <c r="D53" i="3"/>
  <c r="E53" i="3" s="1"/>
  <c r="D54" i="3"/>
  <c r="E54" i="3" s="1"/>
  <c r="D55" i="3"/>
  <c r="D56" i="3"/>
  <c r="D57" i="3"/>
  <c r="E57" i="3" s="1"/>
  <c r="D58" i="3"/>
  <c r="E58" i="3" s="1"/>
  <c r="D59" i="3"/>
  <c r="D60" i="3"/>
  <c r="D61" i="3"/>
  <c r="E61" i="3" s="1"/>
  <c r="D62" i="3"/>
  <c r="E62" i="3" s="1"/>
  <c r="D63" i="3"/>
  <c r="D64" i="3"/>
  <c r="D65" i="3"/>
  <c r="E65" i="3" s="1"/>
  <c r="D66" i="3"/>
  <c r="E66" i="3" s="1"/>
  <c r="D67" i="3"/>
  <c r="D68" i="3"/>
  <c r="D69" i="3"/>
  <c r="E69" i="3" s="1"/>
  <c r="D21" i="3"/>
  <c r="E21" i="3" s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8" i="1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66" i="6"/>
  <c r="E70" i="6"/>
  <c r="E74" i="6"/>
  <c r="E78" i="6"/>
  <c r="E82" i="6"/>
  <c r="E86" i="6"/>
  <c r="E90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2" i="6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0" i="4"/>
  <c r="C436" i="4"/>
  <c r="C432" i="4"/>
  <c r="C428" i="4"/>
  <c r="C424" i="4"/>
  <c r="C441" i="4"/>
  <c r="C437" i="4"/>
  <c r="C433" i="4"/>
  <c r="C429" i="4"/>
  <c r="C425" i="4"/>
  <c r="C442" i="4"/>
  <c r="C438" i="4"/>
  <c r="C434" i="4"/>
  <c r="C430" i="4"/>
  <c r="C426" i="4"/>
  <c r="C422" i="4"/>
  <c r="C443" i="4"/>
  <c r="C439" i="4"/>
  <c r="C435" i="4"/>
  <c r="C431" i="4"/>
  <c r="C427" i="4"/>
  <c r="C423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2" i="4"/>
  <c r="C378" i="4"/>
  <c r="C374" i="4"/>
  <c r="C370" i="4"/>
  <c r="C366" i="4"/>
  <c r="C362" i="4"/>
  <c r="C383" i="4"/>
  <c r="C379" i="4"/>
  <c r="C375" i="4"/>
  <c r="C371" i="4"/>
  <c r="C367" i="4"/>
  <c r="C363" i="4"/>
  <c r="C384" i="4"/>
  <c r="C380" i="4"/>
  <c r="C376" i="4"/>
  <c r="C372" i="4"/>
  <c r="C368" i="4"/>
  <c r="C364" i="4"/>
  <c r="C381" i="4"/>
  <c r="C377" i="4"/>
  <c r="C373" i="4"/>
  <c r="C369" i="4"/>
  <c r="C365" i="4"/>
  <c r="C361" i="4"/>
  <c r="C359" i="4"/>
  <c r="C357" i="4"/>
  <c r="C355" i="4"/>
  <c r="C353" i="4"/>
  <c r="C351" i="4"/>
  <c r="C349" i="4"/>
  <c r="C347" i="4"/>
  <c r="C345" i="4"/>
  <c r="C343" i="4"/>
  <c r="C341" i="4"/>
  <c r="C339" i="4"/>
  <c r="C337" i="4"/>
  <c r="C333" i="4"/>
  <c r="C329" i="4"/>
  <c r="C325" i="4"/>
  <c r="C321" i="4"/>
  <c r="C317" i="4"/>
  <c r="C313" i="4"/>
  <c r="C309" i="4"/>
  <c r="C305" i="4"/>
  <c r="C334" i="4"/>
  <c r="C330" i="4"/>
  <c r="C326" i="4"/>
  <c r="C322" i="4"/>
  <c r="C318" i="4"/>
  <c r="C314" i="4"/>
  <c r="C310" i="4"/>
  <c r="C306" i="4"/>
  <c r="C302" i="4"/>
  <c r="C360" i="4"/>
  <c r="C358" i="4"/>
  <c r="C356" i="4"/>
  <c r="C354" i="4"/>
  <c r="C352" i="4"/>
  <c r="C350" i="4"/>
  <c r="C348" i="4"/>
  <c r="C346" i="4"/>
  <c r="C344" i="4"/>
  <c r="C342" i="4"/>
  <c r="C340" i="4"/>
  <c r="C338" i="4"/>
  <c r="C335" i="4"/>
  <c r="C331" i="4"/>
  <c r="C327" i="4"/>
  <c r="C323" i="4"/>
  <c r="C319" i="4"/>
  <c r="C315" i="4"/>
  <c r="C311" i="4"/>
  <c r="C307" i="4"/>
  <c r="C303" i="4"/>
  <c r="C336" i="4"/>
  <c r="C332" i="4"/>
  <c r="C328" i="4"/>
  <c r="C324" i="4"/>
  <c r="C320" i="4"/>
  <c r="C316" i="4"/>
  <c r="C312" i="4"/>
  <c r="C308" i="4"/>
  <c r="C304" i="4"/>
  <c r="C301" i="4"/>
  <c r="C297" i="4"/>
  <c r="C293" i="4"/>
  <c r="C289" i="4"/>
  <c r="C285" i="4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74" i="4"/>
  <c r="C266" i="4"/>
  <c r="C262" i="4"/>
  <c r="C260" i="4"/>
  <c r="C258" i="4"/>
  <c r="C254" i="4"/>
  <c r="C252" i="4"/>
  <c r="C248" i="4"/>
  <c r="C244" i="4"/>
  <c r="C242" i="4"/>
  <c r="C298" i="4"/>
  <c r="C290" i="4"/>
  <c r="C286" i="4"/>
  <c r="C278" i="4"/>
  <c r="C300" i="4"/>
  <c r="C296" i="4"/>
  <c r="C292" i="4"/>
  <c r="C288" i="4"/>
  <c r="C284" i="4"/>
  <c r="C280" i="4"/>
  <c r="C299" i="4"/>
  <c r="C295" i="4"/>
  <c r="C291" i="4"/>
  <c r="C287" i="4"/>
  <c r="C283" i="4"/>
  <c r="C279" i="4"/>
  <c r="C276" i="4"/>
  <c r="C272" i="4"/>
  <c r="C270" i="4"/>
  <c r="C268" i="4"/>
  <c r="C264" i="4"/>
  <c r="C256" i="4"/>
  <c r="C250" i="4"/>
  <c r="C246" i="4"/>
  <c r="C294" i="4"/>
  <c r="C282" i="4"/>
  <c r="C241" i="4"/>
  <c r="C240" i="4"/>
  <c r="C236" i="4"/>
  <c r="C232" i="4"/>
  <c r="C228" i="4"/>
  <c r="C224" i="4"/>
  <c r="C220" i="4"/>
  <c r="C239" i="4"/>
  <c r="C235" i="4"/>
  <c r="C231" i="4"/>
  <c r="C227" i="4"/>
  <c r="C223" i="4"/>
  <c r="C219" i="4"/>
  <c r="C216" i="4"/>
  <c r="C214" i="4"/>
  <c r="C212" i="4"/>
  <c r="C210" i="4"/>
  <c r="C208" i="4"/>
  <c r="C206" i="4"/>
  <c r="C204" i="4"/>
  <c r="C202" i="4"/>
  <c r="C200" i="4"/>
  <c r="C198" i="4"/>
  <c r="C196" i="4"/>
  <c r="C194" i="4"/>
  <c r="C192" i="4"/>
  <c r="C190" i="4"/>
  <c r="C188" i="4"/>
  <c r="C186" i="4"/>
  <c r="C184" i="4"/>
  <c r="C182" i="4"/>
  <c r="C238" i="4"/>
  <c r="C234" i="4"/>
  <c r="C230" i="4"/>
  <c r="C226" i="4"/>
  <c r="C222" i="4"/>
  <c r="C218" i="4"/>
  <c r="C237" i="4"/>
  <c r="C233" i="4"/>
  <c r="C229" i="4"/>
  <c r="C225" i="4"/>
  <c r="C221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80" i="4"/>
  <c r="C176" i="4"/>
  <c r="C172" i="4"/>
  <c r="C168" i="4"/>
  <c r="C164" i="4"/>
  <c r="C160" i="4"/>
  <c r="C179" i="4"/>
  <c r="C175" i="4"/>
  <c r="C171" i="4"/>
  <c r="C167" i="4"/>
  <c r="C163" i="4"/>
  <c r="C159" i="4"/>
  <c r="C156" i="4"/>
  <c r="C154" i="4"/>
  <c r="C152" i="4"/>
  <c r="C150" i="4"/>
  <c r="C148" i="4"/>
  <c r="C146" i="4"/>
  <c r="C144" i="4"/>
  <c r="C142" i="4"/>
  <c r="C140" i="4"/>
  <c r="C138" i="4"/>
  <c r="C136" i="4"/>
  <c r="C134" i="4"/>
  <c r="C132" i="4"/>
  <c r="C130" i="4"/>
  <c r="C128" i="4"/>
  <c r="C126" i="4"/>
  <c r="C124" i="4"/>
  <c r="C122" i="4"/>
  <c r="C178" i="4"/>
  <c r="C174" i="4"/>
  <c r="C170" i="4"/>
  <c r="C166" i="4"/>
  <c r="C162" i="4"/>
  <c r="C158" i="4"/>
  <c r="C177" i="4"/>
  <c r="C173" i="4"/>
  <c r="C169" i="4"/>
  <c r="C165" i="4"/>
  <c r="C161" i="4"/>
  <c r="C157" i="4"/>
  <c r="C155" i="4"/>
  <c r="C153" i="4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20" i="4"/>
  <c r="C116" i="4"/>
  <c r="C112" i="4"/>
  <c r="C108" i="4"/>
  <c r="C104" i="4"/>
  <c r="C100" i="4"/>
  <c r="C76" i="4"/>
  <c r="C70" i="4"/>
  <c r="C66" i="4"/>
  <c r="C62" i="4"/>
  <c r="C118" i="4"/>
  <c r="C110" i="4"/>
  <c r="C98" i="4"/>
  <c r="C117" i="4"/>
  <c r="C109" i="4"/>
  <c r="C101" i="4"/>
  <c r="C95" i="4"/>
  <c r="C89" i="4"/>
  <c r="C87" i="4"/>
  <c r="C81" i="4"/>
  <c r="C77" i="4"/>
  <c r="C73" i="4"/>
  <c r="C69" i="4"/>
  <c r="C65" i="4"/>
  <c r="C63" i="4"/>
  <c r="C119" i="4"/>
  <c r="C115" i="4"/>
  <c r="C111" i="4"/>
  <c r="C107" i="4"/>
  <c r="C103" i="4"/>
  <c r="C99" i="4"/>
  <c r="C96" i="4"/>
  <c r="C94" i="4"/>
  <c r="C92" i="4"/>
  <c r="C90" i="4"/>
  <c r="C88" i="4"/>
  <c r="C86" i="4"/>
  <c r="C84" i="4"/>
  <c r="C82" i="4"/>
  <c r="C80" i="4"/>
  <c r="C78" i="4"/>
  <c r="C74" i="4"/>
  <c r="C72" i="4"/>
  <c r="C68" i="4"/>
  <c r="C64" i="4"/>
  <c r="C114" i="4"/>
  <c r="C106" i="4"/>
  <c r="C102" i="4"/>
  <c r="C113" i="4"/>
  <c r="C105" i="4"/>
  <c r="C97" i="4"/>
  <c r="C93" i="4"/>
  <c r="C91" i="4"/>
  <c r="C85" i="4"/>
  <c r="C83" i="4"/>
  <c r="C79" i="4"/>
  <c r="C75" i="4"/>
  <c r="C71" i="4"/>
  <c r="C67" i="4"/>
  <c r="C5" i="4"/>
  <c r="C9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" i="4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3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4" i="4"/>
  <c r="C8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2" i="4"/>
  <c r="K6" i="2"/>
  <c r="K10" i="2"/>
  <c r="K14" i="2"/>
  <c r="K7" i="2"/>
  <c r="K11" i="2"/>
  <c r="K15" i="2"/>
  <c r="K8" i="2"/>
  <c r="K12" i="2"/>
  <c r="K16" i="2"/>
  <c r="K9" i="2"/>
  <c r="K13" i="2"/>
  <c r="N11" i="1"/>
  <c r="N15" i="1"/>
  <c r="N19" i="1"/>
  <c r="N23" i="1"/>
  <c r="N27" i="1"/>
  <c r="N31" i="1"/>
  <c r="N35" i="1"/>
  <c r="N39" i="1"/>
  <c r="N43" i="1"/>
  <c r="N47" i="1"/>
  <c r="N51" i="1"/>
  <c r="N55" i="1"/>
  <c r="N59" i="1"/>
  <c r="N63" i="1"/>
  <c r="N67" i="1"/>
  <c r="N12" i="1"/>
  <c r="N16" i="1"/>
  <c r="N20" i="1"/>
  <c r="N24" i="1"/>
  <c r="N28" i="1"/>
  <c r="N32" i="1"/>
  <c r="N36" i="1"/>
  <c r="N40" i="1"/>
  <c r="N44" i="1"/>
  <c r="N48" i="1"/>
  <c r="N52" i="1"/>
  <c r="N56" i="1"/>
  <c r="N60" i="1"/>
  <c r="N64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8" i="1"/>
  <c r="K5" i="2"/>
  <c r="K4" i="2"/>
  <c r="C162" i="7"/>
  <c r="C170" i="7"/>
  <c r="C186" i="7"/>
  <c r="C202" i="7"/>
  <c r="C218" i="7"/>
  <c r="C234" i="7"/>
  <c r="C250" i="7"/>
  <c r="C266" i="7"/>
  <c r="C282" i="7"/>
  <c r="C298" i="7"/>
  <c r="C184" i="7"/>
  <c r="C200" i="7"/>
  <c r="C216" i="7"/>
  <c r="C232" i="7"/>
  <c r="C248" i="7"/>
  <c r="C264" i="7"/>
  <c r="C280" i="7"/>
  <c r="C289" i="7"/>
  <c r="C172" i="7"/>
  <c r="C204" i="7"/>
  <c r="C236" i="7"/>
  <c r="C268" i="7"/>
  <c r="C161" i="7"/>
  <c r="C177" i="7"/>
  <c r="C190" i="7"/>
  <c r="C199" i="7"/>
  <c r="C166" i="7"/>
  <c r="C181" i="7"/>
  <c r="C205" i="7"/>
  <c r="C226" i="7"/>
  <c r="C245" i="7"/>
  <c r="C269" i="7"/>
  <c r="C290" i="7"/>
  <c r="C179" i="7"/>
  <c r="C203" i="7"/>
  <c r="C224" i="7"/>
  <c r="C243" i="7"/>
  <c r="C267" i="7"/>
  <c r="C165" i="7"/>
  <c r="C163" i="7"/>
  <c r="C212" i="7"/>
  <c r="C252" i="7"/>
  <c r="C291" i="7"/>
  <c r="C182" i="7"/>
  <c r="C193" i="7"/>
  <c r="C207" i="7"/>
  <c r="C217" i="7"/>
  <c r="C230" i="7"/>
  <c r="C239" i="7"/>
  <c r="C249" i="7"/>
  <c r="C262" i="7"/>
  <c r="C271" i="7"/>
  <c r="C281" i="7"/>
  <c r="C296" i="7"/>
  <c r="C294" i="7"/>
  <c r="C15" i="7"/>
  <c r="C31" i="7"/>
  <c r="C47" i="7"/>
  <c r="C63" i="7"/>
  <c r="C79" i="7"/>
  <c r="C95" i="7"/>
  <c r="C111" i="7"/>
  <c r="C127" i="7"/>
  <c r="C143" i="7"/>
  <c r="C4" i="7"/>
  <c r="C20" i="7"/>
  <c r="C36" i="7"/>
  <c r="C52" i="7"/>
  <c r="C68" i="7"/>
  <c r="C84" i="7"/>
  <c r="C100" i="7"/>
  <c r="C116" i="7"/>
  <c r="C132" i="7"/>
  <c r="C148" i="7"/>
  <c r="C9" i="7"/>
  <c r="C25" i="7"/>
  <c r="C41" i="7"/>
  <c r="C160" i="7"/>
  <c r="C178" i="7"/>
  <c r="C210" i="7"/>
  <c r="C237" i="7"/>
  <c r="C261" i="7"/>
  <c r="C293" i="7"/>
  <c r="C192" i="7"/>
  <c r="C219" i="7"/>
  <c r="C251" i="7"/>
  <c r="C275" i="7"/>
  <c r="C300" i="7"/>
  <c r="C220" i="7"/>
  <c r="C276" i="7"/>
  <c r="C175" i="7"/>
  <c r="C198" i="7"/>
  <c r="C214" i="7"/>
  <c r="C225" i="7"/>
  <c r="C241" i="7"/>
  <c r="C255" i="7"/>
  <c r="C270" i="7"/>
  <c r="C286" i="7"/>
  <c r="C159" i="7"/>
  <c r="C11" i="7"/>
  <c r="C35" i="7"/>
  <c r="C55" i="7"/>
  <c r="C75" i="7"/>
  <c r="C99" i="7"/>
  <c r="C119" i="7"/>
  <c r="C139" i="7"/>
  <c r="C8" i="7"/>
  <c r="C28" i="7"/>
  <c r="C48" i="7"/>
  <c r="C72" i="7"/>
  <c r="C92" i="7"/>
  <c r="C112" i="7"/>
  <c r="C136" i="7"/>
  <c r="C156" i="7"/>
  <c r="C21" i="7"/>
  <c r="C45" i="7"/>
  <c r="C61" i="7"/>
  <c r="C77" i="7"/>
  <c r="C93" i="7"/>
  <c r="C109" i="7"/>
  <c r="C125" i="7"/>
  <c r="C141" i="7"/>
  <c r="C157" i="7"/>
  <c r="C18" i="7"/>
  <c r="C34" i="7"/>
  <c r="C50" i="7"/>
  <c r="C114" i="7"/>
  <c r="C70" i="7"/>
  <c r="C134" i="7"/>
  <c r="C90" i="7"/>
  <c r="C154" i="7"/>
  <c r="C110" i="7"/>
  <c r="C3" i="7"/>
  <c r="H128" i="8"/>
  <c r="H76" i="8"/>
  <c r="H225" i="8"/>
  <c r="H81" i="8"/>
  <c r="H229" i="8"/>
  <c r="H226" i="8"/>
  <c r="H166" i="8"/>
  <c r="H281" i="8"/>
  <c r="H71" i="8"/>
  <c r="H172" i="8"/>
  <c r="H119" i="8"/>
  <c r="H221" i="8"/>
  <c r="H258" i="8"/>
  <c r="H169" i="8"/>
  <c r="C173" i="7"/>
  <c r="C197" i="7"/>
  <c r="C229" i="7"/>
  <c r="C258" i="7"/>
  <c r="C285" i="7"/>
  <c r="C187" i="7"/>
  <c r="C211" i="7"/>
  <c r="C240" i="7"/>
  <c r="C272" i="7"/>
  <c r="C295" i="7"/>
  <c r="C196" i="7"/>
  <c r="C260" i="7"/>
  <c r="C174" i="7"/>
  <c r="C191" i="7"/>
  <c r="C209" i="7"/>
  <c r="C223" i="7"/>
  <c r="C238" i="7"/>
  <c r="C254" i="7"/>
  <c r="C265" i="7"/>
  <c r="C279" i="7"/>
  <c r="C297" i="7"/>
  <c r="C7" i="7"/>
  <c r="C27" i="7"/>
  <c r="C51" i="7"/>
  <c r="C71" i="7"/>
  <c r="C91" i="7"/>
  <c r="C115" i="7"/>
  <c r="C135" i="7"/>
  <c r="C155" i="7"/>
  <c r="C24" i="7"/>
  <c r="C44" i="7"/>
  <c r="C64" i="7"/>
  <c r="C88" i="7"/>
  <c r="C108" i="7"/>
  <c r="C128" i="7"/>
  <c r="C152" i="7"/>
  <c r="C17" i="7"/>
  <c r="C37" i="7"/>
  <c r="C57" i="7"/>
  <c r="C73" i="7"/>
  <c r="C89" i="7"/>
  <c r="C105" i="7"/>
  <c r="C121" i="7"/>
  <c r="C137" i="7"/>
  <c r="C153" i="7"/>
  <c r="C14" i="7"/>
  <c r="C30" i="7"/>
  <c r="C46" i="7"/>
  <c r="C98" i="7"/>
  <c r="C54" i="7"/>
  <c r="C118" i="7"/>
  <c r="C74" i="7"/>
  <c r="C138" i="7"/>
  <c r="C94" i="7"/>
  <c r="C158" i="7"/>
  <c r="C164" i="7"/>
  <c r="C213" i="7"/>
  <c r="C274" i="7"/>
  <c r="C195" i="7"/>
  <c r="C256" i="7"/>
  <c r="C180" i="7"/>
  <c r="C284" i="7"/>
  <c r="C201" i="7"/>
  <c r="C231" i="7"/>
  <c r="C257" i="7"/>
  <c r="C287" i="7"/>
  <c r="C19" i="7"/>
  <c r="C59" i="7"/>
  <c r="C103" i="7"/>
  <c r="C147" i="7"/>
  <c r="C32" i="7"/>
  <c r="C76" i="7"/>
  <c r="C120" i="7"/>
  <c r="C5" i="7"/>
  <c r="C49" i="7"/>
  <c r="C81" i="7"/>
  <c r="C113" i="7"/>
  <c r="C145" i="7"/>
  <c r="C22" i="7"/>
  <c r="C66" i="7"/>
  <c r="C86" i="7"/>
  <c r="C106" i="7"/>
  <c r="C126" i="7"/>
  <c r="H213" i="8"/>
  <c r="H252" i="8"/>
  <c r="H269" i="8"/>
  <c r="H248" i="8"/>
  <c r="H168" i="8"/>
  <c r="H181" i="8"/>
  <c r="H287" i="8"/>
  <c r="H175" i="8"/>
  <c r="H224" i="8"/>
  <c r="H291" i="8"/>
  <c r="H125" i="8"/>
  <c r="H86" i="8"/>
  <c r="H143" i="8"/>
  <c r="H171" i="8"/>
  <c r="H231" i="8"/>
  <c r="H100" i="8"/>
  <c r="H105" i="8"/>
  <c r="H95" i="8"/>
  <c r="H197" i="8"/>
  <c r="H90" i="8"/>
  <c r="H94" i="8"/>
  <c r="H160" i="8"/>
  <c r="H245" i="8"/>
  <c r="H182" i="8"/>
  <c r="H158" i="8"/>
  <c r="H148" i="8"/>
  <c r="H247" i="8"/>
  <c r="H153" i="8"/>
  <c r="H249" i="8"/>
  <c r="H129" i="8"/>
  <c r="H121" i="8"/>
  <c r="H88" i="8"/>
  <c r="H187" i="8"/>
  <c r="H191" i="8"/>
  <c r="H106" i="8"/>
  <c r="H126" i="8"/>
  <c r="H200" i="8"/>
  <c r="H206" i="8"/>
  <c r="H243" i="8"/>
  <c r="H193" i="8"/>
  <c r="H115" i="8"/>
  <c r="H271" i="8"/>
  <c r="H186" i="8"/>
  <c r="H162" i="8"/>
  <c r="H217" i="8"/>
  <c r="H283" i="8"/>
  <c r="H276" i="8"/>
  <c r="H91" i="8"/>
  <c r="H127" i="8"/>
  <c r="H99" i="8"/>
  <c r="H234" i="8"/>
  <c r="H219" i="8"/>
  <c r="H69" i="8"/>
  <c r="H51" i="8"/>
  <c r="H31" i="8"/>
  <c r="H52" i="8"/>
  <c r="H60" i="8"/>
  <c r="H10" i="8"/>
  <c r="H17" i="8"/>
  <c r="H49" i="8"/>
  <c r="H59" i="8"/>
  <c r="H43" i="8"/>
  <c r="H46" i="8"/>
  <c r="H12" i="8"/>
  <c r="H64" i="8"/>
  <c r="H45" i="8"/>
  <c r="H39" i="8"/>
  <c r="H50" i="8"/>
  <c r="H184" i="8"/>
  <c r="H80" i="8"/>
  <c r="H273" i="8"/>
  <c r="H102" i="8"/>
  <c r="H250" i="8"/>
  <c r="H117" i="8"/>
  <c r="H170" i="8"/>
  <c r="H110" i="8"/>
  <c r="H157" i="8"/>
  <c r="H161" i="8"/>
  <c r="H216" i="8"/>
  <c r="H98" i="8"/>
  <c r="H116" i="8"/>
  <c r="H147" i="8"/>
  <c r="H112" i="8"/>
  <c r="H154" i="8"/>
  <c r="H257" i="8"/>
  <c r="H266" i="8"/>
  <c r="H192" i="8"/>
  <c r="H284" i="8"/>
  <c r="H233" i="8"/>
  <c r="H230" i="8"/>
  <c r="H74" i="8"/>
  <c r="H215" i="8"/>
  <c r="H289" i="8"/>
  <c r="H133" i="8"/>
  <c r="H290" i="8"/>
  <c r="H16" i="8"/>
  <c r="H20" i="8"/>
  <c r="H9" i="8"/>
  <c r="H3" i="8"/>
  <c r="H53" i="8"/>
  <c r="H40" i="8"/>
  <c r="H68" i="8"/>
  <c r="H56" i="8"/>
  <c r="H29" i="8"/>
  <c r="H35" i="8"/>
  <c r="H48" i="8"/>
  <c r="H21" i="8"/>
  <c r="H183" i="8"/>
  <c r="H212" i="8"/>
  <c r="H93" i="8"/>
  <c r="H220" i="8"/>
  <c r="H179" i="8"/>
  <c r="H63" i="8"/>
  <c r="H13" i="8"/>
  <c r="H67" i="8"/>
  <c r="H30" i="8"/>
  <c r="H22" i="8"/>
  <c r="H70" i="8"/>
  <c r="H33" i="8"/>
  <c r="H41" i="8"/>
  <c r="C253" i="7"/>
  <c r="C235" i="7"/>
  <c r="C244" i="7"/>
  <c r="C222" i="7"/>
  <c r="C278" i="7"/>
  <c r="C43" i="7"/>
  <c r="C131" i="7"/>
  <c r="C60" i="7"/>
  <c r="C33" i="7"/>
  <c r="C101" i="7"/>
  <c r="C10" i="7"/>
  <c r="C146" i="7"/>
  <c r="C78" i="7"/>
  <c r="H198" i="8"/>
  <c r="H194" i="8"/>
  <c r="H83" i="8"/>
  <c r="H101" i="8"/>
  <c r="H240" i="8"/>
  <c r="H165" i="8"/>
  <c r="H209" i="8"/>
  <c r="H137" i="8"/>
  <c r="H107" i="8"/>
  <c r="H242" i="8"/>
  <c r="H176" i="8"/>
  <c r="H195" i="8"/>
  <c r="H177" i="8"/>
  <c r="H244" i="8"/>
  <c r="H155" i="8"/>
  <c r="H96" i="8"/>
  <c r="H262" i="8"/>
  <c r="H222" i="8"/>
  <c r="H211" i="8"/>
  <c r="C168" i="7"/>
  <c r="C221" i="7"/>
  <c r="C277" i="7"/>
  <c r="C208" i="7"/>
  <c r="C259" i="7"/>
  <c r="C188" i="7"/>
  <c r="C169" i="7"/>
  <c r="C206" i="7"/>
  <c r="C233" i="7"/>
  <c r="C263" i="7"/>
  <c r="C292" i="7"/>
  <c r="C23" i="7"/>
  <c r="C67" i="7"/>
  <c r="C107" i="7"/>
  <c r="C151" i="7"/>
  <c r="C40" i="7"/>
  <c r="C80" i="7"/>
  <c r="C124" i="7"/>
  <c r="C13" i="7"/>
  <c r="C53" i="7"/>
  <c r="C85" i="7"/>
  <c r="C117" i="7"/>
  <c r="C149" i="7"/>
  <c r="C26" i="7"/>
  <c r="C82" i="7"/>
  <c r="C102" i="7"/>
  <c r="C122" i="7"/>
  <c r="C142" i="7"/>
  <c r="H267" i="8"/>
  <c r="H207" i="8"/>
  <c r="H201" i="8"/>
  <c r="H264" i="8"/>
  <c r="H228" i="8"/>
  <c r="H79" i="8"/>
  <c r="H241" i="8"/>
  <c r="H87" i="8"/>
  <c r="H285" i="8"/>
  <c r="H251" i="8"/>
  <c r="H270" i="8"/>
  <c r="H180" i="8"/>
  <c r="H256" i="8"/>
  <c r="H152" i="8"/>
  <c r="H178" i="8"/>
  <c r="H120" i="8"/>
  <c r="H204" i="8"/>
  <c r="H75" i="8"/>
  <c r="H238" i="8"/>
  <c r="H146" i="8"/>
  <c r="H268" i="8"/>
  <c r="H138" i="8"/>
  <c r="H167" i="8"/>
  <c r="H203" i="8"/>
  <c r="H214" i="8"/>
  <c r="H54" i="8"/>
  <c r="H47" i="8"/>
  <c r="H62" i="8"/>
  <c r="H38" i="8"/>
  <c r="H274" i="8"/>
  <c r="H130" i="8"/>
  <c r="H255" i="8"/>
  <c r="H109" i="8"/>
  <c r="H19" i="8"/>
  <c r="H11" i="8"/>
  <c r="H57" i="8"/>
  <c r="C176" i="7"/>
  <c r="C185" i="7"/>
  <c r="C299" i="7"/>
  <c r="C16" i="7"/>
  <c r="C144" i="7"/>
  <c r="C133" i="7"/>
  <c r="C58" i="7"/>
  <c r="H218" i="8"/>
  <c r="H188" i="8"/>
  <c r="H149" i="8"/>
  <c r="H282" i="8"/>
  <c r="H163" i="8"/>
  <c r="H190" i="8"/>
  <c r="H142" i="8"/>
  <c r="H141" i="8"/>
  <c r="H275" i="8"/>
  <c r="H78" i="8"/>
  <c r="H263" i="8"/>
  <c r="C189" i="7"/>
  <c r="C242" i="7"/>
  <c r="C171" i="7"/>
  <c r="C227" i="7"/>
  <c r="C283" i="7"/>
  <c r="C228" i="7"/>
  <c r="C183" i="7"/>
  <c r="C215" i="7"/>
  <c r="C246" i="7"/>
  <c r="C273" i="7"/>
  <c r="C167" i="7"/>
  <c r="C39" i="7"/>
  <c r="C83" i="7"/>
  <c r="C123" i="7"/>
  <c r="C12" i="7"/>
  <c r="C56" i="7"/>
  <c r="C96" i="7"/>
  <c r="C140" i="7"/>
  <c r="C29" i="7"/>
  <c r="C65" i="7"/>
  <c r="C97" i="7"/>
  <c r="C129" i="7"/>
  <c r="C6" i="7"/>
  <c r="C38" i="7"/>
  <c r="C130" i="7"/>
  <c r="C150" i="7"/>
  <c r="C62" i="7"/>
  <c r="H210" i="8"/>
  <c r="H199" i="8"/>
  <c r="H72" i="8"/>
  <c r="H235" i="8"/>
  <c r="H108" i="8"/>
  <c r="H278" i="8"/>
  <c r="H77" i="8"/>
  <c r="H140" i="8"/>
  <c r="H156" i="8"/>
  <c r="H185" i="8"/>
  <c r="H174" i="8"/>
  <c r="H114" i="8"/>
  <c r="H208" i="8"/>
  <c r="H89" i="8"/>
  <c r="H292" i="8"/>
  <c r="H288" i="8"/>
  <c r="H232" i="8"/>
  <c r="H286" i="8"/>
  <c r="H205" i="8"/>
  <c r="H97" i="8"/>
  <c r="H123" i="8"/>
  <c r="H189" i="8"/>
  <c r="H139" i="8"/>
  <c r="H260" i="8"/>
  <c r="H132" i="8"/>
  <c r="H277" i="8"/>
  <c r="H253" i="8"/>
  <c r="H135" i="8"/>
  <c r="H113" i="8"/>
  <c r="H223" i="8"/>
  <c r="H118" i="8"/>
  <c r="H151" i="8"/>
  <c r="H85" i="8"/>
  <c r="H84" i="8"/>
  <c r="H246" i="8"/>
  <c r="H134" i="8"/>
  <c r="H144" i="8"/>
  <c r="H103" i="8"/>
  <c r="H131" i="8"/>
  <c r="H272" i="8"/>
  <c r="H173" i="8"/>
  <c r="H159" i="8"/>
  <c r="H227" i="8"/>
  <c r="H36" i="8"/>
  <c r="H15" i="8"/>
  <c r="H8" i="8"/>
  <c r="H55" i="8"/>
  <c r="C194" i="7"/>
  <c r="C288" i="7"/>
  <c r="C247" i="7"/>
  <c r="C87" i="7"/>
  <c r="C104" i="7"/>
  <c r="C69" i="7"/>
  <c r="C42" i="7"/>
  <c r="H150" i="8"/>
  <c r="H82" i="8"/>
  <c r="H73" i="8"/>
  <c r="H280" i="8"/>
  <c r="H122" i="8"/>
  <c r="H136" i="8"/>
  <c r="H111" i="8"/>
  <c r="H104" i="8"/>
  <c r="H92" i="8"/>
  <c r="H164" i="8"/>
  <c r="H145" i="8"/>
  <c r="H196" i="8"/>
  <c r="H259" i="8"/>
  <c r="H37" i="8"/>
  <c r="H32" i="8"/>
  <c r="H42" i="8"/>
  <c r="H202" i="8"/>
  <c r="H265" i="8"/>
  <c r="H261" i="8"/>
  <c r="H14" i="8"/>
  <c r="H66" i="8"/>
  <c r="H18" i="8"/>
  <c r="H28" i="8"/>
  <c r="H124" i="8"/>
  <c r="H239" i="8"/>
  <c r="H237" i="8"/>
  <c r="H61" i="8"/>
  <c r="H65" i="8"/>
  <c r="H58" i="8"/>
  <c r="H25" i="8"/>
  <c r="H236" i="8"/>
  <c r="H279" i="8"/>
  <c r="H254" i="8"/>
  <c r="H34" i="8"/>
  <c r="H4" i="8"/>
  <c r="H44" i="8"/>
  <c r="H5" i="8"/>
  <c r="G2" i="4" l="1"/>
  <c r="D2" i="4"/>
  <c r="G60" i="4"/>
  <c r="D60" i="4"/>
  <c r="D56" i="4"/>
  <c r="G56" i="4"/>
  <c r="G52" i="4"/>
  <c r="D52" i="4"/>
  <c r="D48" i="4"/>
  <c r="G48" i="4"/>
  <c r="G44" i="4"/>
  <c r="D44" i="4"/>
  <c r="D40" i="4"/>
  <c r="G40" i="4"/>
  <c r="G36" i="4"/>
  <c r="D36" i="4"/>
  <c r="D32" i="4"/>
  <c r="G32" i="4"/>
  <c r="G28" i="4"/>
  <c r="D28" i="4"/>
  <c r="G24" i="4"/>
  <c r="D24" i="4"/>
  <c r="G20" i="4"/>
  <c r="D20" i="4"/>
  <c r="G16" i="4"/>
  <c r="D16" i="4"/>
  <c r="G12" i="4"/>
  <c r="D12" i="4"/>
  <c r="G8" i="4"/>
  <c r="D8" i="4"/>
  <c r="G4" i="4"/>
  <c r="D4" i="4"/>
  <c r="G59" i="4"/>
  <c r="D59" i="4"/>
  <c r="G55" i="4"/>
  <c r="D55" i="4"/>
  <c r="G51" i="4"/>
  <c r="D51" i="4"/>
  <c r="G47" i="4"/>
  <c r="D47" i="4"/>
  <c r="G43" i="4"/>
  <c r="D43" i="4"/>
  <c r="G39" i="4"/>
  <c r="D39" i="4"/>
  <c r="G35" i="4"/>
  <c r="D35" i="4"/>
  <c r="G31" i="4"/>
  <c r="D31" i="4"/>
  <c r="G27" i="4"/>
  <c r="D27" i="4"/>
  <c r="G23" i="4"/>
  <c r="D23" i="4"/>
  <c r="G19" i="4"/>
  <c r="D19" i="4"/>
  <c r="G15" i="4"/>
  <c r="D15" i="4"/>
  <c r="G11" i="4"/>
  <c r="D11" i="4"/>
  <c r="G7" i="4"/>
  <c r="D7" i="4"/>
  <c r="G3" i="4"/>
  <c r="D3" i="4"/>
  <c r="D58" i="4"/>
  <c r="G58" i="4"/>
  <c r="D54" i="4"/>
  <c r="G54" i="4"/>
  <c r="G50" i="4"/>
  <c r="D50" i="4"/>
  <c r="G46" i="4"/>
  <c r="D46" i="4"/>
  <c r="D42" i="4"/>
  <c r="G42" i="4"/>
  <c r="D38" i="4"/>
  <c r="G38" i="4"/>
  <c r="G34" i="4"/>
  <c r="D34" i="4"/>
  <c r="G30" i="4"/>
  <c r="D30" i="4"/>
  <c r="G26" i="4"/>
  <c r="D26" i="4"/>
  <c r="D22" i="4"/>
  <c r="G22" i="4"/>
  <c r="G18" i="4"/>
  <c r="D18" i="4"/>
  <c r="G14" i="4"/>
  <c r="D14" i="4"/>
  <c r="G10" i="4"/>
  <c r="D10" i="4"/>
  <c r="G6" i="4"/>
  <c r="D6" i="4"/>
  <c r="G61" i="4"/>
  <c r="D61" i="4"/>
  <c r="G57" i="4"/>
  <c r="D57" i="4"/>
  <c r="G53" i="4"/>
  <c r="D53" i="4"/>
  <c r="G49" i="4"/>
  <c r="D49" i="4"/>
  <c r="G45" i="4"/>
  <c r="D45" i="4"/>
  <c r="G41" i="4"/>
  <c r="D41" i="4"/>
  <c r="G37" i="4"/>
  <c r="D37" i="4"/>
  <c r="G33" i="4"/>
  <c r="D33" i="4"/>
  <c r="G29" i="4"/>
  <c r="D29" i="4"/>
  <c r="G25" i="4"/>
  <c r="D25" i="4"/>
  <c r="G21" i="4"/>
  <c r="D21" i="4"/>
  <c r="G17" i="4"/>
  <c r="D17" i="4"/>
  <c r="G13" i="4"/>
  <c r="D13" i="4"/>
  <c r="G9" i="4"/>
  <c r="D9" i="4"/>
  <c r="G5" i="4"/>
  <c r="D5" i="4"/>
  <c r="G3" i="7"/>
  <c r="F3" i="7"/>
  <c r="F158" i="7"/>
  <c r="G158" i="7"/>
  <c r="F142" i="7"/>
  <c r="G142" i="7"/>
  <c r="F126" i="7"/>
  <c r="G126" i="7"/>
  <c r="F110" i="7"/>
  <c r="G110" i="7"/>
  <c r="F94" i="7"/>
  <c r="G94" i="7"/>
  <c r="F78" i="7"/>
  <c r="G78" i="7"/>
  <c r="F62" i="7"/>
  <c r="G62" i="7"/>
  <c r="F154" i="7"/>
  <c r="G154" i="7"/>
  <c r="F138" i="7"/>
  <c r="G138" i="7"/>
  <c r="F122" i="7"/>
  <c r="G122" i="7"/>
  <c r="F106" i="7"/>
  <c r="G106" i="7"/>
  <c r="F90" i="7"/>
  <c r="G90" i="7"/>
  <c r="F74" i="7"/>
  <c r="G74" i="7"/>
  <c r="F58" i="7"/>
  <c r="G58" i="7"/>
  <c r="F150" i="7"/>
  <c r="G150" i="7"/>
  <c r="F134" i="7"/>
  <c r="G134" i="7"/>
  <c r="F118" i="7"/>
  <c r="G118" i="7"/>
  <c r="F102" i="7"/>
  <c r="G102" i="7"/>
  <c r="F86" i="7"/>
  <c r="G86" i="7"/>
  <c r="F70" i="7"/>
  <c r="G70" i="7"/>
  <c r="F54" i="7"/>
  <c r="G54" i="7"/>
  <c r="F146" i="7"/>
  <c r="G146" i="7"/>
  <c r="F130" i="7"/>
  <c r="G130" i="7"/>
  <c r="F114" i="7"/>
  <c r="G114" i="7"/>
  <c r="F98" i="7"/>
  <c r="G98" i="7"/>
  <c r="F82" i="7"/>
  <c r="G82" i="7"/>
  <c r="F66" i="7"/>
  <c r="G66" i="7"/>
  <c r="F50" i="7"/>
  <c r="G50" i="7"/>
  <c r="F46" i="7"/>
  <c r="G46" i="7"/>
  <c r="F42" i="7"/>
  <c r="G42" i="7"/>
  <c r="F38" i="7"/>
  <c r="G38" i="7"/>
  <c r="F34" i="7"/>
  <c r="G34" i="7"/>
  <c r="F30" i="7"/>
  <c r="G30" i="7"/>
  <c r="F26" i="7"/>
  <c r="G26" i="7"/>
  <c r="F22" i="7"/>
  <c r="G22" i="7"/>
  <c r="F18" i="7"/>
  <c r="G18" i="7"/>
  <c r="F14" i="7"/>
  <c r="G14" i="7"/>
  <c r="F10" i="7"/>
  <c r="G10" i="7"/>
  <c r="F6" i="7"/>
  <c r="G6" i="7"/>
  <c r="G157" i="7"/>
  <c r="F157" i="7"/>
  <c r="G153" i="7"/>
  <c r="F153" i="7"/>
  <c r="G149" i="7"/>
  <c r="F149" i="7"/>
  <c r="G145" i="7"/>
  <c r="F145" i="7"/>
  <c r="G141" i="7"/>
  <c r="F141" i="7"/>
  <c r="G137" i="7"/>
  <c r="F137" i="7"/>
  <c r="G133" i="7"/>
  <c r="F133" i="7"/>
  <c r="G129" i="7"/>
  <c r="F129" i="7"/>
  <c r="G125" i="7"/>
  <c r="F125" i="7"/>
  <c r="G121" i="7"/>
  <c r="F121" i="7"/>
  <c r="G117" i="7"/>
  <c r="F117" i="7"/>
  <c r="G113" i="7"/>
  <c r="F113" i="7"/>
  <c r="G109" i="7"/>
  <c r="F109" i="7"/>
  <c r="G105" i="7"/>
  <c r="F105" i="7"/>
  <c r="G101" i="7"/>
  <c r="F101" i="7"/>
  <c r="G97" i="7"/>
  <c r="F97" i="7"/>
  <c r="G93" i="7"/>
  <c r="F93" i="7"/>
  <c r="G89" i="7"/>
  <c r="F89" i="7"/>
  <c r="G85" i="7"/>
  <c r="F85" i="7"/>
  <c r="G81" i="7"/>
  <c r="F81" i="7"/>
  <c r="G77" i="7"/>
  <c r="F77" i="7"/>
  <c r="G73" i="7"/>
  <c r="F73" i="7"/>
  <c r="G69" i="7"/>
  <c r="F69" i="7"/>
  <c r="G65" i="7"/>
  <c r="F65" i="7"/>
  <c r="G61" i="7"/>
  <c r="F61" i="7"/>
  <c r="G57" i="7"/>
  <c r="F57" i="7"/>
  <c r="G53" i="7"/>
  <c r="F53" i="7"/>
  <c r="G49" i="7"/>
  <c r="F49" i="7"/>
  <c r="G45" i="7"/>
  <c r="F45" i="7"/>
  <c r="G41" i="7"/>
  <c r="F41" i="7"/>
  <c r="G37" i="7"/>
  <c r="F37" i="7"/>
  <c r="G33" i="7"/>
  <c r="F33" i="7"/>
  <c r="G29" i="7"/>
  <c r="F29" i="7"/>
  <c r="G25" i="7"/>
  <c r="F25" i="7"/>
  <c r="G21" i="7"/>
  <c r="F21" i="7"/>
  <c r="G17" i="7"/>
  <c r="F17" i="7"/>
  <c r="G13" i="7"/>
  <c r="F13" i="7"/>
  <c r="G9" i="7"/>
  <c r="F9" i="7"/>
  <c r="G5" i="7"/>
  <c r="F5" i="7"/>
  <c r="F156" i="7"/>
  <c r="G156" i="7"/>
  <c r="F152" i="7"/>
  <c r="G152" i="7"/>
  <c r="F148" i="7"/>
  <c r="G148" i="7"/>
  <c r="F144" i="7"/>
  <c r="G144" i="7"/>
  <c r="F140" i="7"/>
  <c r="G140" i="7"/>
  <c r="F136" i="7"/>
  <c r="G136" i="7"/>
  <c r="F132" i="7"/>
  <c r="G132" i="7"/>
  <c r="F128" i="7"/>
  <c r="G128" i="7"/>
  <c r="F124" i="7"/>
  <c r="G124" i="7"/>
  <c r="F120" i="7"/>
  <c r="G120" i="7"/>
  <c r="F116" i="7"/>
  <c r="G116" i="7"/>
  <c r="F112" i="7"/>
  <c r="G112" i="7"/>
  <c r="F108" i="7"/>
  <c r="G108" i="7"/>
  <c r="F104" i="7"/>
  <c r="G104" i="7"/>
  <c r="F100" i="7"/>
  <c r="G100" i="7"/>
  <c r="F96" i="7"/>
  <c r="G96" i="7"/>
  <c r="F92" i="7"/>
  <c r="G92" i="7"/>
  <c r="F88" i="7"/>
  <c r="G88" i="7"/>
  <c r="F84" i="7"/>
  <c r="G84" i="7"/>
  <c r="F80" i="7"/>
  <c r="G80" i="7"/>
  <c r="F76" i="7"/>
  <c r="G76" i="7"/>
  <c r="F72" i="7"/>
  <c r="G72" i="7"/>
  <c r="F68" i="7"/>
  <c r="G68" i="7"/>
  <c r="F64" i="7"/>
  <c r="G64" i="7"/>
  <c r="F60" i="7"/>
  <c r="G60" i="7"/>
  <c r="F56" i="7"/>
  <c r="G56" i="7"/>
  <c r="F52" i="7"/>
  <c r="G52" i="7"/>
  <c r="F48" i="7"/>
  <c r="G48" i="7"/>
  <c r="F44" i="7"/>
  <c r="G44" i="7"/>
  <c r="F40" i="7"/>
  <c r="G40" i="7"/>
  <c r="F36" i="7"/>
  <c r="G36" i="7"/>
  <c r="F32" i="7"/>
  <c r="G32" i="7"/>
  <c r="F28" i="7"/>
  <c r="G28" i="7"/>
  <c r="F24" i="7"/>
  <c r="G24" i="7"/>
  <c r="F20" i="7"/>
  <c r="G20" i="7"/>
  <c r="F16" i="7"/>
  <c r="G16" i="7"/>
  <c r="F12" i="7"/>
  <c r="G12" i="7"/>
  <c r="F8" i="7"/>
  <c r="G8" i="7"/>
  <c r="F4" i="7"/>
  <c r="G4" i="7"/>
  <c r="G155" i="7"/>
  <c r="F155" i="7"/>
  <c r="G151" i="7"/>
  <c r="F151" i="7"/>
  <c r="G147" i="7"/>
  <c r="F147" i="7"/>
  <c r="G143" i="7"/>
  <c r="F143" i="7"/>
  <c r="G139" i="7"/>
  <c r="F139" i="7"/>
  <c r="G135" i="7"/>
  <c r="F135" i="7"/>
  <c r="G131" i="7"/>
  <c r="F131" i="7"/>
  <c r="G127" i="7"/>
  <c r="F127" i="7"/>
  <c r="G123" i="7"/>
  <c r="F123" i="7"/>
  <c r="G119" i="7"/>
  <c r="F119" i="7"/>
  <c r="G115" i="7"/>
  <c r="F115" i="7"/>
  <c r="G111" i="7"/>
  <c r="F111" i="7"/>
  <c r="G107" i="7"/>
  <c r="F107" i="7"/>
  <c r="G103" i="7"/>
  <c r="F103" i="7"/>
  <c r="G99" i="7"/>
  <c r="F99" i="7"/>
  <c r="G95" i="7"/>
  <c r="F95" i="7"/>
  <c r="G91" i="7"/>
  <c r="F91" i="7"/>
  <c r="G87" i="7"/>
  <c r="F87" i="7"/>
  <c r="G83" i="7"/>
  <c r="F83" i="7"/>
  <c r="G79" i="7"/>
  <c r="F79" i="7"/>
  <c r="G75" i="7"/>
  <c r="F75" i="7"/>
  <c r="G71" i="7"/>
  <c r="F71" i="7"/>
  <c r="G67" i="7"/>
  <c r="F67" i="7"/>
  <c r="G63" i="7"/>
  <c r="F63" i="7"/>
  <c r="G59" i="7"/>
  <c r="F59" i="7"/>
  <c r="G55" i="7"/>
  <c r="F55" i="7"/>
  <c r="G51" i="7"/>
  <c r="F51" i="7"/>
  <c r="G47" i="7"/>
  <c r="F47" i="7"/>
  <c r="G43" i="7"/>
  <c r="F43" i="7"/>
  <c r="G39" i="7"/>
  <c r="F39" i="7"/>
  <c r="G35" i="7"/>
  <c r="F35" i="7"/>
  <c r="G31" i="7"/>
  <c r="F31" i="7"/>
  <c r="G27" i="7"/>
  <c r="F27" i="7"/>
  <c r="G23" i="7"/>
  <c r="F23" i="7"/>
  <c r="G19" i="7"/>
  <c r="F19" i="7"/>
  <c r="G15" i="7"/>
  <c r="F15" i="7"/>
  <c r="G11" i="7"/>
  <c r="F11" i="7"/>
  <c r="G7" i="7"/>
  <c r="F7" i="7"/>
  <c r="F299" i="7"/>
  <c r="G299" i="7"/>
  <c r="F294" i="7"/>
  <c r="G294" i="7"/>
  <c r="F167" i="7"/>
  <c r="G167" i="7"/>
  <c r="F159" i="7"/>
  <c r="G159" i="7"/>
  <c r="F297" i="7"/>
  <c r="G297" i="7"/>
  <c r="F296" i="7"/>
  <c r="G296" i="7"/>
  <c r="F292" i="7"/>
  <c r="G292" i="7"/>
  <c r="F287" i="7"/>
  <c r="G287" i="7"/>
  <c r="F286" i="7"/>
  <c r="G286" i="7"/>
  <c r="F281" i="7"/>
  <c r="G281" i="7"/>
  <c r="F279" i="7"/>
  <c r="G279" i="7"/>
  <c r="F278" i="7"/>
  <c r="G278" i="7"/>
  <c r="F273" i="7"/>
  <c r="G273" i="7"/>
  <c r="F271" i="7"/>
  <c r="G271" i="7"/>
  <c r="F270" i="7"/>
  <c r="G270" i="7"/>
  <c r="F265" i="7"/>
  <c r="G265" i="7"/>
  <c r="F263" i="7"/>
  <c r="G263" i="7"/>
  <c r="F262" i="7"/>
  <c r="G262" i="7"/>
  <c r="F257" i="7"/>
  <c r="G257" i="7"/>
  <c r="F255" i="7"/>
  <c r="G255" i="7"/>
  <c r="F254" i="7"/>
  <c r="G254" i="7"/>
  <c r="F249" i="7"/>
  <c r="G249" i="7"/>
  <c r="F247" i="7"/>
  <c r="G247" i="7"/>
  <c r="F246" i="7"/>
  <c r="G246" i="7"/>
  <c r="F241" i="7"/>
  <c r="G241" i="7"/>
  <c r="F239" i="7"/>
  <c r="G239" i="7"/>
  <c r="F238" i="7"/>
  <c r="G238" i="7"/>
  <c r="F233" i="7"/>
  <c r="G233" i="7"/>
  <c r="F231" i="7"/>
  <c r="G231" i="7"/>
  <c r="F230" i="7"/>
  <c r="G230" i="7"/>
  <c r="F225" i="7"/>
  <c r="G225" i="7"/>
  <c r="F223" i="7"/>
  <c r="G223" i="7"/>
  <c r="F222" i="7"/>
  <c r="G222" i="7"/>
  <c r="F217" i="7"/>
  <c r="G217" i="7"/>
  <c r="F215" i="7"/>
  <c r="G215" i="7"/>
  <c r="F214" i="7"/>
  <c r="G214" i="7"/>
  <c r="F209" i="7"/>
  <c r="G209" i="7"/>
  <c r="F207" i="7"/>
  <c r="G207" i="7"/>
  <c r="F206" i="7"/>
  <c r="G206" i="7"/>
  <c r="F201" i="7"/>
  <c r="G201" i="7"/>
  <c r="F199" i="7"/>
  <c r="G199" i="7"/>
  <c r="F198" i="7"/>
  <c r="G198" i="7"/>
  <c r="F193" i="7"/>
  <c r="G193" i="7"/>
  <c r="F191" i="7"/>
  <c r="G191" i="7"/>
  <c r="F190" i="7"/>
  <c r="G190" i="7"/>
  <c r="F185" i="7"/>
  <c r="G185" i="7"/>
  <c r="F183" i="7"/>
  <c r="G183" i="7"/>
  <c r="F182" i="7"/>
  <c r="G182" i="7"/>
  <c r="F177" i="7"/>
  <c r="G177" i="7"/>
  <c r="F175" i="7"/>
  <c r="G175" i="7"/>
  <c r="F174" i="7"/>
  <c r="G174" i="7"/>
  <c r="F169" i="7"/>
  <c r="G169" i="7"/>
  <c r="F161" i="7"/>
  <c r="G161" i="7"/>
  <c r="F291" i="7"/>
  <c r="G291" i="7"/>
  <c r="F284" i="7"/>
  <c r="G284" i="7"/>
  <c r="F276" i="7"/>
  <c r="G276" i="7"/>
  <c r="F268" i="7"/>
  <c r="G268" i="7"/>
  <c r="F260" i="7"/>
  <c r="G260" i="7"/>
  <c r="F252" i="7"/>
  <c r="G252" i="7"/>
  <c r="F244" i="7"/>
  <c r="G244" i="7"/>
  <c r="F236" i="7"/>
  <c r="G236" i="7"/>
  <c r="F228" i="7"/>
  <c r="G228" i="7"/>
  <c r="F220" i="7"/>
  <c r="G220" i="7"/>
  <c r="F212" i="7"/>
  <c r="G212" i="7"/>
  <c r="F204" i="7"/>
  <c r="G204" i="7"/>
  <c r="F196" i="7"/>
  <c r="G196" i="7"/>
  <c r="F188" i="7"/>
  <c r="G188" i="7"/>
  <c r="F180" i="7"/>
  <c r="G180" i="7"/>
  <c r="F172" i="7"/>
  <c r="G172" i="7"/>
  <c r="F163" i="7"/>
  <c r="G163" i="7"/>
  <c r="F300" i="7"/>
  <c r="G300" i="7"/>
  <c r="G295" i="7"/>
  <c r="F295" i="7"/>
  <c r="F289" i="7"/>
  <c r="G289" i="7"/>
  <c r="F288" i="7"/>
  <c r="G288" i="7"/>
  <c r="F165" i="7"/>
  <c r="G165" i="7"/>
  <c r="F283" i="7"/>
  <c r="G283" i="7"/>
  <c r="F280" i="7"/>
  <c r="G280" i="7"/>
  <c r="F275" i="7"/>
  <c r="G275" i="7"/>
  <c r="F272" i="7"/>
  <c r="G272" i="7"/>
  <c r="F267" i="7"/>
  <c r="G267" i="7"/>
  <c r="F264" i="7"/>
  <c r="G264" i="7"/>
  <c r="F259" i="7"/>
  <c r="G259" i="7"/>
  <c r="F256" i="7"/>
  <c r="G256" i="7"/>
  <c r="F251" i="7"/>
  <c r="G251" i="7"/>
  <c r="F248" i="7"/>
  <c r="G248" i="7"/>
  <c r="F243" i="7"/>
  <c r="G243" i="7"/>
  <c r="F240" i="7"/>
  <c r="G240" i="7"/>
  <c r="F235" i="7"/>
  <c r="G235" i="7"/>
  <c r="F232" i="7"/>
  <c r="G232" i="7"/>
  <c r="F227" i="7"/>
  <c r="G227" i="7"/>
  <c r="F224" i="7"/>
  <c r="G224" i="7"/>
  <c r="F219" i="7"/>
  <c r="G219" i="7"/>
  <c r="F216" i="7"/>
  <c r="G216" i="7"/>
  <c r="F211" i="7"/>
  <c r="G211" i="7"/>
  <c r="F208" i="7"/>
  <c r="G208" i="7"/>
  <c r="F203" i="7"/>
  <c r="G203" i="7"/>
  <c r="F200" i="7"/>
  <c r="G200" i="7"/>
  <c r="F195" i="7"/>
  <c r="G195" i="7"/>
  <c r="F192" i="7"/>
  <c r="G192" i="7"/>
  <c r="F187" i="7"/>
  <c r="G187" i="7"/>
  <c r="F184" i="7"/>
  <c r="G184" i="7"/>
  <c r="F179" i="7"/>
  <c r="G179" i="7"/>
  <c r="F176" i="7"/>
  <c r="G176" i="7"/>
  <c r="F171" i="7"/>
  <c r="G171" i="7"/>
  <c r="F298" i="7"/>
  <c r="G298" i="7"/>
  <c r="G293" i="7"/>
  <c r="F293" i="7"/>
  <c r="F290" i="7"/>
  <c r="G290" i="7"/>
  <c r="G285" i="7"/>
  <c r="F285" i="7"/>
  <c r="F282" i="7"/>
  <c r="G282" i="7"/>
  <c r="G277" i="7"/>
  <c r="F277" i="7"/>
  <c r="F274" i="7"/>
  <c r="G274" i="7"/>
  <c r="G269" i="7"/>
  <c r="F269" i="7"/>
  <c r="F266" i="7"/>
  <c r="G266" i="7"/>
  <c r="G261" i="7"/>
  <c r="F261" i="7"/>
  <c r="F258" i="7"/>
  <c r="G258" i="7"/>
  <c r="G253" i="7"/>
  <c r="F253" i="7"/>
  <c r="F250" i="7"/>
  <c r="G250" i="7"/>
  <c r="G245" i="7"/>
  <c r="F245" i="7"/>
  <c r="F242" i="7"/>
  <c r="G242" i="7"/>
  <c r="G237" i="7"/>
  <c r="F237" i="7"/>
  <c r="F234" i="7"/>
  <c r="G234" i="7"/>
  <c r="G229" i="7"/>
  <c r="F229" i="7"/>
  <c r="F226" i="7"/>
  <c r="G226" i="7"/>
  <c r="G221" i="7"/>
  <c r="F221" i="7"/>
  <c r="F218" i="7"/>
  <c r="G218" i="7"/>
  <c r="G213" i="7"/>
  <c r="F213" i="7"/>
  <c r="F210" i="7"/>
  <c r="G210" i="7"/>
  <c r="G205" i="7"/>
  <c r="F205" i="7"/>
  <c r="F202" i="7"/>
  <c r="G202" i="7"/>
  <c r="G197" i="7"/>
  <c r="F197" i="7"/>
  <c r="F194" i="7"/>
  <c r="G194" i="7"/>
  <c r="G189" i="7"/>
  <c r="F189" i="7"/>
  <c r="F186" i="7"/>
  <c r="G186" i="7"/>
  <c r="G181" i="7"/>
  <c r="F181" i="7"/>
  <c r="F178" i="7"/>
  <c r="G178" i="7"/>
  <c r="G173" i="7"/>
  <c r="F173" i="7"/>
  <c r="F170" i="7"/>
  <c r="G170" i="7"/>
  <c r="F168" i="7"/>
  <c r="G168" i="7"/>
  <c r="F166" i="7"/>
  <c r="G166" i="7"/>
  <c r="F164" i="7"/>
  <c r="G164" i="7"/>
  <c r="F162" i="7"/>
  <c r="G162" i="7"/>
  <c r="F160" i="7"/>
  <c r="G160" i="7"/>
  <c r="D423" i="4"/>
  <c r="G423" i="4"/>
  <c r="F423" i="4"/>
  <c r="D427" i="4"/>
  <c r="G427" i="4"/>
  <c r="F427" i="4"/>
  <c r="D431" i="4"/>
  <c r="G431" i="4"/>
  <c r="F431" i="4"/>
  <c r="D435" i="4"/>
  <c r="G435" i="4"/>
  <c r="F435" i="4"/>
  <c r="D439" i="4"/>
  <c r="G439" i="4"/>
  <c r="F439" i="4"/>
  <c r="D443" i="4"/>
  <c r="G443" i="4"/>
  <c r="F443" i="4"/>
  <c r="D422" i="4"/>
  <c r="G422" i="4"/>
  <c r="F422" i="4"/>
  <c r="D426" i="4"/>
  <c r="G426" i="4"/>
  <c r="F426" i="4"/>
  <c r="D430" i="4"/>
  <c r="G430" i="4"/>
  <c r="F430" i="4"/>
  <c r="D434" i="4"/>
  <c r="G434" i="4"/>
  <c r="F434" i="4"/>
  <c r="D438" i="4"/>
  <c r="G438" i="4"/>
  <c r="F438" i="4"/>
  <c r="D442" i="4"/>
  <c r="G442" i="4"/>
  <c r="F442" i="4"/>
  <c r="D425" i="4"/>
  <c r="F425" i="4"/>
  <c r="G425" i="4"/>
  <c r="D429" i="4"/>
  <c r="F429" i="4"/>
  <c r="G429" i="4"/>
  <c r="D433" i="4"/>
  <c r="F433" i="4"/>
  <c r="G433" i="4"/>
  <c r="D437" i="4"/>
  <c r="F437" i="4"/>
  <c r="G437" i="4"/>
  <c r="D441" i="4"/>
  <c r="F441" i="4"/>
  <c r="G441" i="4"/>
  <c r="D424" i="4"/>
  <c r="G424" i="4"/>
  <c r="F424" i="4"/>
  <c r="D428" i="4"/>
  <c r="G428" i="4"/>
  <c r="F428" i="4"/>
  <c r="D432" i="4"/>
  <c r="G432" i="4"/>
  <c r="F432" i="4"/>
  <c r="D436" i="4"/>
  <c r="G436" i="4"/>
  <c r="F436" i="4"/>
  <c r="D440" i="4"/>
  <c r="G440" i="4"/>
  <c r="F440" i="4"/>
  <c r="D444" i="4"/>
  <c r="G444" i="4"/>
  <c r="F444" i="4"/>
  <c r="D445" i="4"/>
  <c r="G445" i="4"/>
  <c r="F445" i="4"/>
  <c r="D446" i="4"/>
  <c r="G446" i="4"/>
  <c r="F446" i="4"/>
  <c r="D447" i="4"/>
  <c r="G447" i="4"/>
  <c r="F447" i="4"/>
  <c r="D448" i="4"/>
  <c r="G448" i="4"/>
  <c r="F448" i="4"/>
  <c r="D449" i="4"/>
  <c r="G449" i="4"/>
  <c r="F449" i="4"/>
  <c r="D450" i="4"/>
  <c r="G450" i="4"/>
  <c r="F450" i="4"/>
  <c r="D451" i="4"/>
  <c r="G451" i="4"/>
  <c r="F451" i="4"/>
  <c r="D452" i="4"/>
  <c r="G452" i="4"/>
  <c r="F452" i="4"/>
  <c r="D453" i="4"/>
  <c r="G453" i="4"/>
  <c r="F453" i="4"/>
  <c r="D454" i="4"/>
  <c r="G454" i="4"/>
  <c r="F454" i="4"/>
  <c r="D455" i="4"/>
  <c r="G455" i="4"/>
  <c r="F455" i="4"/>
  <c r="D456" i="4"/>
  <c r="G456" i="4"/>
  <c r="F456" i="4"/>
  <c r="D457" i="4"/>
  <c r="G457" i="4"/>
  <c r="F457" i="4"/>
  <c r="D458" i="4"/>
  <c r="G458" i="4"/>
  <c r="F458" i="4"/>
  <c r="D459" i="4"/>
  <c r="G459" i="4"/>
  <c r="F459" i="4"/>
  <c r="D460" i="4"/>
  <c r="G460" i="4"/>
  <c r="F460" i="4"/>
  <c r="D461" i="4"/>
  <c r="G461" i="4"/>
  <c r="F461" i="4"/>
  <c r="D462" i="4"/>
  <c r="G462" i="4"/>
  <c r="F462" i="4"/>
  <c r="D463" i="4"/>
  <c r="G463" i="4"/>
  <c r="F463" i="4"/>
  <c r="D464" i="4"/>
  <c r="G464" i="4"/>
  <c r="F464" i="4"/>
  <c r="D465" i="4"/>
  <c r="G465" i="4"/>
  <c r="F465" i="4"/>
  <c r="D466" i="4"/>
  <c r="G466" i="4"/>
  <c r="F466" i="4"/>
  <c r="D467" i="4"/>
  <c r="G467" i="4"/>
  <c r="F467" i="4"/>
  <c r="D468" i="4"/>
  <c r="G468" i="4"/>
  <c r="F468" i="4"/>
  <c r="D469" i="4"/>
  <c r="G469" i="4"/>
  <c r="F469" i="4"/>
  <c r="D470" i="4"/>
  <c r="G470" i="4"/>
  <c r="F470" i="4"/>
  <c r="D471" i="4"/>
  <c r="G471" i="4"/>
  <c r="F471" i="4"/>
  <c r="D472" i="4"/>
  <c r="G472" i="4"/>
  <c r="F472" i="4"/>
  <c r="D473" i="4"/>
  <c r="G473" i="4"/>
  <c r="F473" i="4"/>
  <c r="D474" i="4"/>
  <c r="G474" i="4"/>
  <c r="F474" i="4"/>
  <c r="D475" i="4"/>
  <c r="G475" i="4"/>
  <c r="F475" i="4"/>
  <c r="D476" i="4"/>
  <c r="G476" i="4"/>
  <c r="F476" i="4"/>
  <c r="D477" i="4"/>
  <c r="G477" i="4"/>
  <c r="F477" i="4"/>
  <c r="D478" i="4"/>
  <c r="G478" i="4"/>
  <c r="F478" i="4"/>
  <c r="D479" i="4"/>
  <c r="G479" i="4"/>
  <c r="F479" i="4"/>
  <c r="D480" i="4"/>
  <c r="G480" i="4"/>
  <c r="F480" i="4"/>
  <c r="D481" i="4"/>
  <c r="G481" i="4"/>
  <c r="F481" i="4"/>
  <c r="D365" i="4"/>
  <c r="G365" i="4"/>
  <c r="F365" i="4"/>
  <c r="D369" i="4"/>
  <c r="G369" i="4"/>
  <c r="F369" i="4"/>
  <c r="D373" i="4"/>
  <c r="G373" i="4"/>
  <c r="F373" i="4"/>
  <c r="D377" i="4"/>
  <c r="G377" i="4"/>
  <c r="F377" i="4"/>
  <c r="D381" i="4"/>
  <c r="G381" i="4"/>
  <c r="F381" i="4"/>
  <c r="D364" i="4"/>
  <c r="G364" i="4"/>
  <c r="F364" i="4"/>
  <c r="D368" i="4"/>
  <c r="G368" i="4"/>
  <c r="F368" i="4"/>
  <c r="D372" i="4"/>
  <c r="G372" i="4"/>
  <c r="F372" i="4"/>
  <c r="D376" i="4"/>
  <c r="G376" i="4"/>
  <c r="F376" i="4"/>
  <c r="D380" i="4"/>
  <c r="G380" i="4"/>
  <c r="F380" i="4"/>
  <c r="D384" i="4"/>
  <c r="G384" i="4"/>
  <c r="F384" i="4"/>
  <c r="D363" i="4"/>
  <c r="F363" i="4"/>
  <c r="G363" i="4"/>
  <c r="D367" i="4"/>
  <c r="F367" i="4"/>
  <c r="G367" i="4"/>
  <c r="D371" i="4"/>
  <c r="F371" i="4"/>
  <c r="G371" i="4"/>
  <c r="D375" i="4"/>
  <c r="F375" i="4"/>
  <c r="G375" i="4"/>
  <c r="D379" i="4"/>
  <c r="F379" i="4"/>
  <c r="G379" i="4"/>
  <c r="D383" i="4"/>
  <c r="F383" i="4"/>
  <c r="G383" i="4"/>
  <c r="D362" i="4"/>
  <c r="G362" i="4"/>
  <c r="F362" i="4"/>
  <c r="D366" i="4"/>
  <c r="G366" i="4"/>
  <c r="F366" i="4"/>
  <c r="D370" i="4"/>
  <c r="G370" i="4"/>
  <c r="F370" i="4"/>
  <c r="D374" i="4"/>
  <c r="G374" i="4"/>
  <c r="F374" i="4"/>
  <c r="D378" i="4"/>
  <c r="G378" i="4"/>
  <c r="F378" i="4"/>
  <c r="D382" i="4"/>
  <c r="G382" i="4"/>
  <c r="F382" i="4"/>
  <c r="D385" i="4"/>
  <c r="G385" i="4"/>
  <c r="F385" i="4"/>
  <c r="D386" i="4"/>
  <c r="G386" i="4"/>
  <c r="F386" i="4"/>
  <c r="D387" i="4"/>
  <c r="G387" i="4"/>
  <c r="F387" i="4"/>
  <c r="D388" i="4"/>
  <c r="G388" i="4"/>
  <c r="F388" i="4"/>
  <c r="D389" i="4"/>
  <c r="G389" i="4"/>
  <c r="F389" i="4"/>
  <c r="D390" i="4"/>
  <c r="G390" i="4"/>
  <c r="F390" i="4"/>
  <c r="D391" i="4"/>
  <c r="G391" i="4"/>
  <c r="F391" i="4"/>
  <c r="D392" i="4"/>
  <c r="G392" i="4"/>
  <c r="F392" i="4"/>
  <c r="D393" i="4"/>
  <c r="G393" i="4"/>
  <c r="F393" i="4"/>
  <c r="D394" i="4"/>
  <c r="G394" i="4"/>
  <c r="F394" i="4"/>
  <c r="D395" i="4"/>
  <c r="G395" i="4"/>
  <c r="F395" i="4"/>
  <c r="D396" i="4"/>
  <c r="G396" i="4"/>
  <c r="F396" i="4"/>
  <c r="D397" i="4"/>
  <c r="G397" i="4"/>
  <c r="F397" i="4"/>
  <c r="D398" i="4"/>
  <c r="G398" i="4"/>
  <c r="F398" i="4"/>
  <c r="D399" i="4"/>
  <c r="G399" i="4"/>
  <c r="F399" i="4"/>
  <c r="D400" i="4"/>
  <c r="G400" i="4"/>
  <c r="F400" i="4"/>
  <c r="D401" i="4"/>
  <c r="G401" i="4"/>
  <c r="F401" i="4"/>
  <c r="D402" i="4"/>
  <c r="G402" i="4"/>
  <c r="F402" i="4"/>
  <c r="D403" i="4"/>
  <c r="G403" i="4"/>
  <c r="F403" i="4"/>
  <c r="D404" i="4"/>
  <c r="G404" i="4"/>
  <c r="F404" i="4"/>
  <c r="D405" i="4"/>
  <c r="G405" i="4"/>
  <c r="F405" i="4"/>
  <c r="D406" i="4"/>
  <c r="G406" i="4"/>
  <c r="F406" i="4"/>
  <c r="D407" i="4"/>
  <c r="G407" i="4"/>
  <c r="F407" i="4"/>
  <c r="D408" i="4"/>
  <c r="G408" i="4"/>
  <c r="F408" i="4"/>
  <c r="D409" i="4"/>
  <c r="G409" i="4"/>
  <c r="F409" i="4"/>
  <c r="D410" i="4"/>
  <c r="G410" i="4"/>
  <c r="F410" i="4"/>
  <c r="D411" i="4"/>
  <c r="G411" i="4"/>
  <c r="F411" i="4"/>
  <c r="D412" i="4"/>
  <c r="G412" i="4"/>
  <c r="F412" i="4"/>
  <c r="D413" i="4"/>
  <c r="G413" i="4"/>
  <c r="F413" i="4"/>
  <c r="D414" i="4"/>
  <c r="G414" i="4"/>
  <c r="F414" i="4"/>
  <c r="D415" i="4"/>
  <c r="G415" i="4"/>
  <c r="F415" i="4"/>
  <c r="D416" i="4"/>
  <c r="G416" i="4"/>
  <c r="F416" i="4"/>
  <c r="D417" i="4"/>
  <c r="G417" i="4"/>
  <c r="F417" i="4"/>
  <c r="D418" i="4"/>
  <c r="G418" i="4"/>
  <c r="F418" i="4"/>
  <c r="D419" i="4"/>
  <c r="G419" i="4"/>
  <c r="F419" i="4"/>
  <c r="D420" i="4"/>
  <c r="G420" i="4"/>
  <c r="F420" i="4"/>
  <c r="D421" i="4"/>
  <c r="G421" i="4"/>
  <c r="F421" i="4"/>
  <c r="F304" i="4"/>
  <c r="G304" i="4"/>
  <c r="D304" i="4"/>
  <c r="F308" i="4"/>
  <c r="G308" i="4"/>
  <c r="D308" i="4"/>
  <c r="F312" i="4"/>
  <c r="G312" i="4"/>
  <c r="D312" i="4"/>
  <c r="F316" i="4"/>
  <c r="G316" i="4"/>
  <c r="D316" i="4"/>
  <c r="F320" i="4"/>
  <c r="G320" i="4"/>
  <c r="D320" i="4"/>
  <c r="F324" i="4"/>
  <c r="G324" i="4"/>
  <c r="D324" i="4"/>
  <c r="F328" i="4"/>
  <c r="G328" i="4"/>
  <c r="D328" i="4"/>
  <c r="F332" i="4"/>
  <c r="G332" i="4"/>
  <c r="D332" i="4"/>
  <c r="F336" i="4"/>
  <c r="G336" i="4"/>
  <c r="D336" i="4"/>
  <c r="F303" i="4"/>
  <c r="G303" i="4"/>
  <c r="D303" i="4"/>
  <c r="F307" i="4"/>
  <c r="G307" i="4"/>
  <c r="D307" i="4"/>
  <c r="F311" i="4"/>
  <c r="G311" i="4"/>
  <c r="D311" i="4"/>
  <c r="F315" i="4"/>
  <c r="G315" i="4"/>
  <c r="D315" i="4"/>
  <c r="F319" i="4"/>
  <c r="G319" i="4"/>
  <c r="D319" i="4"/>
  <c r="F323" i="4"/>
  <c r="G323" i="4"/>
  <c r="D323" i="4"/>
  <c r="F327" i="4"/>
  <c r="G327" i="4"/>
  <c r="D327" i="4"/>
  <c r="F331" i="4"/>
  <c r="G331" i="4"/>
  <c r="D331" i="4"/>
  <c r="F335" i="4"/>
  <c r="G335" i="4"/>
  <c r="D335" i="4"/>
  <c r="F338" i="4"/>
  <c r="D338" i="4"/>
  <c r="G338" i="4"/>
  <c r="F340" i="4"/>
  <c r="D340" i="4"/>
  <c r="G340" i="4"/>
  <c r="F342" i="4"/>
  <c r="D342" i="4"/>
  <c r="G342" i="4"/>
  <c r="F344" i="4"/>
  <c r="D344" i="4"/>
  <c r="G344" i="4"/>
  <c r="F346" i="4"/>
  <c r="D346" i="4"/>
  <c r="G346" i="4"/>
  <c r="F348" i="4"/>
  <c r="D348" i="4"/>
  <c r="G348" i="4"/>
  <c r="F350" i="4"/>
  <c r="D350" i="4"/>
  <c r="G350" i="4"/>
  <c r="F352" i="4"/>
  <c r="D352" i="4"/>
  <c r="G352" i="4"/>
  <c r="F354" i="4"/>
  <c r="D354" i="4"/>
  <c r="G354" i="4"/>
  <c r="F356" i="4"/>
  <c r="D356" i="4"/>
  <c r="G356" i="4"/>
  <c r="F358" i="4"/>
  <c r="D358" i="4"/>
  <c r="G358" i="4"/>
  <c r="F360" i="4"/>
  <c r="D360" i="4"/>
  <c r="G360" i="4"/>
  <c r="F302" i="4"/>
  <c r="D302" i="4"/>
  <c r="G302" i="4"/>
  <c r="F306" i="4"/>
  <c r="D306" i="4"/>
  <c r="G306" i="4"/>
  <c r="F310" i="4"/>
  <c r="D310" i="4"/>
  <c r="G310" i="4"/>
  <c r="F314" i="4"/>
  <c r="D314" i="4"/>
  <c r="G314" i="4"/>
  <c r="F318" i="4"/>
  <c r="D318" i="4"/>
  <c r="G318" i="4"/>
  <c r="F322" i="4"/>
  <c r="D322" i="4"/>
  <c r="G322" i="4"/>
  <c r="F326" i="4"/>
  <c r="D326" i="4"/>
  <c r="G326" i="4"/>
  <c r="F330" i="4"/>
  <c r="D330" i="4"/>
  <c r="G330" i="4"/>
  <c r="F334" i="4"/>
  <c r="D334" i="4"/>
  <c r="G334" i="4"/>
  <c r="F305" i="4"/>
  <c r="G305" i="4"/>
  <c r="D305" i="4"/>
  <c r="F309" i="4"/>
  <c r="G309" i="4"/>
  <c r="D309" i="4"/>
  <c r="F313" i="4"/>
  <c r="G313" i="4"/>
  <c r="D313" i="4"/>
  <c r="F317" i="4"/>
  <c r="G317" i="4"/>
  <c r="D317" i="4"/>
  <c r="F321" i="4"/>
  <c r="G321" i="4"/>
  <c r="D321" i="4"/>
  <c r="F325" i="4"/>
  <c r="G325" i="4"/>
  <c r="D325" i="4"/>
  <c r="F329" i="4"/>
  <c r="G329" i="4"/>
  <c r="D329" i="4"/>
  <c r="F333" i="4"/>
  <c r="G333" i="4"/>
  <c r="D333" i="4"/>
  <c r="F337" i="4"/>
  <c r="D337" i="4"/>
  <c r="G337" i="4"/>
  <c r="F339" i="4"/>
  <c r="D339" i="4"/>
  <c r="G339" i="4"/>
  <c r="F341" i="4"/>
  <c r="D341" i="4"/>
  <c r="G341" i="4"/>
  <c r="F343" i="4"/>
  <c r="D343" i="4"/>
  <c r="G343" i="4"/>
  <c r="F345" i="4"/>
  <c r="D345" i="4"/>
  <c r="G345" i="4"/>
  <c r="F347" i="4"/>
  <c r="D347" i="4"/>
  <c r="G347" i="4"/>
  <c r="F349" i="4"/>
  <c r="D349" i="4"/>
  <c r="G349" i="4"/>
  <c r="F351" i="4"/>
  <c r="D351" i="4"/>
  <c r="G351" i="4"/>
  <c r="F353" i="4"/>
  <c r="D353" i="4"/>
  <c r="G353" i="4"/>
  <c r="F355" i="4"/>
  <c r="D355" i="4"/>
  <c r="G355" i="4"/>
  <c r="F357" i="4"/>
  <c r="D357" i="4"/>
  <c r="G357" i="4"/>
  <c r="F359" i="4"/>
  <c r="D359" i="4"/>
  <c r="G359" i="4"/>
  <c r="F361" i="4"/>
  <c r="D361" i="4"/>
  <c r="G361" i="4"/>
  <c r="G282" i="4"/>
  <c r="F282" i="4"/>
  <c r="D282" i="4"/>
  <c r="G294" i="4"/>
  <c r="F294" i="4"/>
  <c r="D294" i="4"/>
  <c r="G246" i="4"/>
  <c r="D246" i="4"/>
  <c r="F246" i="4"/>
  <c r="G250" i="4"/>
  <c r="D250" i="4"/>
  <c r="F250" i="4"/>
  <c r="G256" i="4"/>
  <c r="D256" i="4"/>
  <c r="F256" i="4"/>
  <c r="G264" i="4"/>
  <c r="D264" i="4"/>
  <c r="F264" i="4"/>
  <c r="G268" i="4"/>
  <c r="D268" i="4"/>
  <c r="F268" i="4"/>
  <c r="G270" i="4"/>
  <c r="D270" i="4"/>
  <c r="F270" i="4"/>
  <c r="G272" i="4"/>
  <c r="D272" i="4"/>
  <c r="F272" i="4"/>
  <c r="G276" i="4"/>
  <c r="D276" i="4"/>
  <c r="F276" i="4"/>
  <c r="G279" i="4"/>
  <c r="F279" i="4"/>
  <c r="D279" i="4"/>
  <c r="G283" i="4"/>
  <c r="F283" i="4"/>
  <c r="D283" i="4"/>
  <c r="G287" i="4"/>
  <c r="F287" i="4"/>
  <c r="D287" i="4"/>
  <c r="G291" i="4"/>
  <c r="F291" i="4"/>
  <c r="D291" i="4"/>
  <c r="G295" i="4"/>
  <c r="F295" i="4"/>
  <c r="D295" i="4"/>
  <c r="G299" i="4"/>
  <c r="F299" i="4"/>
  <c r="D299" i="4"/>
  <c r="G280" i="4"/>
  <c r="F280" i="4"/>
  <c r="D280" i="4"/>
  <c r="G284" i="4"/>
  <c r="F284" i="4"/>
  <c r="D284" i="4"/>
  <c r="G288" i="4"/>
  <c r="F288" i="4"/>
  <c r="D288" i="4"/>
  <c r="G292" i="4"/>
  <c r="F292" i="4"/>
  <c r="D292" i="4"/>
  <c r="G296" i="4"/>
  <c r="F296" i="4"/>
  <c r="D296" i="4"/>
  <c r="G300" i="4"/>
  <c r="F300" i="4"/>
  <c r="D300" i="4"/>
  <c r="G278" i="4"/>
  <c r="F278" i="4"/>
  <c r="D278" i="4"/>
  <c r="G286" i="4"/>
  <c r="F286" i="4"/>
  <c r="D286" i="4"/>
  <c r="G290" i="4"/>
  <c r="F290" i="4"/>
  <c r="D290" i="4"/>
  <c r="G298" i="4"/>
  <c r="F298" i="4"/>
  <c r="D298" i="4"/>
  <c r="G242" i="4"/>
  <c r="D242" i="4"/>
  <c r="F242" i="4"/>
  <c r="G244" i="4"/>
  <c r="D244" i="4"/>
  <c r="F244" i="4"/>
  <c r="G248" i="4"/>
  <c r="D248" i="4"/>
  <c r="F248" i="4"/>
  <c r="G252" i="4"/>
  <c r="D252" i="4"/>
  <c r="F252" i="4"/>
  <c r="G254" i="4"/>
  <c r="D254" i="4"/>
  <c r="F254" i="4"/>
  <c r="G258" i="4"/>
  <c r="D258" i="4"/>
  <c r="F258" i="4"/>
  <c r="G260" i="4"/>
  <c r="D260" i="4"/>
  <c r="F260" i="4"/>
  <c r="G262" i="4"/>
  <c r="D262" i="4"/>
  <c r="F262" i="4"/>
  <c r="G266" i="4"/>
  <c r="D266" i="4"/>
  <c r="F266" i="4"/>
  <c r="G274" i="4"/>
  <c r="D274" i="4"/>
  <c r="F274" i="4"/>
  <c r="G243" i="4"/>
  <c r="D243" i="4"/>
  <c r="F243" i="4"/>
  <c r="G245" i="4"/>
  <c r="D245" i="4"/>
  <c r="F245" i="4"/>
  <c r="G247" i="4"/>
  <c r="D247" i="4"/>
  <c r="F247" i="4"/>
  <c r="G249" i="4"/>
  <c r="D249" i="4"/>
  <c r="F249" i="4"/>
  <c r="G251" i="4"/>
  <c r="D251" i="4"/>
  <c r="F251" i="4"/>
  <c r="G253" i="4"/>
  <c r="D253" i="4"/>
  <c r="F253" i="4"/>
  <c r="G255" i="4"/>
  <c r="D255" i="4"/>
  <c r="F255" i="4"/>
  <c r="G257" i="4"/>
  <c r="D257" i="4"/>
  <c r="F257" i="4"/>
  <c r="G259" i="4"/>
  <c r="D259" i="4"/>
  <c r="F259" i="4"/>
  <c r="G261" i="4"/>
  <c r="D261" i="4"/>
  <c r="F261" i="4"/>
  <c r="G263" i="4"/>
  <c r="D263" i="4"/>
  <c r="F263" i="4"/>
  <c r="G265" i="4"/>
  <c r="D265" i="4"/>
  <c r="F265" i="4"/>
  <c r="G267" i="4"/>
  <c r="D267" i="4"/>
  <c r="F267" i="4"/>
  <c r="G269" i="4"/>
  <c r="D269" i="4"/>
  <c r="F269" i="4"/>
  <c r="G271" i="4"/>
  <c r="D271" i="4"/>
  <c r="F271" i="4"/>
  <c r="G273" i="4"/>
  <c r="D273" i="4"/>
  <c r="F273" i="4"/>
  <c r="G275" i="4"/>
  <c r="D275" i="4"/>
  <c r="F275" i="4"/>
  <c r="G277" i="4"/>
  <c r="F277" i="4"/>
  <c r="D277" i="4"/>
  <c r="G281" i="4"/>
  <c r="F281" i="4"/>
  <c r="D281" i="4"/>
  <c r="G285" i="4"/>
  <c r="F285" i="4"/>
  <c r="D285" i="4"/>
  <c r="G289" i="4"/>
  <c r="F289" i="4"/>
  <c r="D289" i="4"/>
  <c r="G293" i="4"/>
  <c r="F293" i="4"/>
  <c r="D293" i="4"/>
  <c r="G297" i="4"/>
  <c r="F297" i="4"/>
  <c r="D297" i="4"/>
  <c r="G301" i="4"/>
  <c r="F301" i="4"/>
  <c r="D301" i="4"/>
  <c r="G183" i="4"/>
  <c r="D183" i="4"/>
  <c r="F183" i="4"/>
  <c r="G185" i="4"/>
  <c r="D185" i="4"/>
  <c r="F185" i="4"/>
  <c r="G187" i="4"/>
  <c r="D187" i="4"/>
  <c r="F187" i="4"/>
  <c r="G189" i="4"/>
  <c r="D189" i="4"/>
  <c r="F189" i="4"/>
  <c r="G191" i="4"/>
  <c r="D191" i="4"/>
  <c r="F191" i="4"/>
  <c r="G193" i="4"/>
  <c r="D193" i="4"/>
  <c r="F193" i="4"/>
  <c r="G195" i="4"/>
  <c r="D195" i="4"/>
  <c r="F195" i="4"/>
  <c r="G197" i="4"/>
  <c r="D197" i="4"/>
  <c r="F197" i="4"/>
  <c r="G199" i="4"/>
  <c r="D199" i="4"/>
  <c r="F199" i="4"/>
  <c r="G201" i="4"/>
  <c r="D201" i="4"/>
  <c r="F201" i="4"/>
  <c r="G203" i="4"/>
  <c r="D203" i="4"/>
  <c r="F203" i="4"/>
  <c r="G205" i="4"/>
  <c r="D205" i="4"/>
  <c r="F205" i="4"/>
  <c r="G207" i="4"/>
  <c r="D207" i="4"/>
  <c r="F207" i="4"/>
  <c r="G209" i="4"/>
  <c r="D209" i="4"/>
  <c r="F209" i="4"/>
  <c r="G211" i="4"/>
  <c r="D211" i="4"/>
  <c r="F211" i="4"/>
  <c r="G213" i="4"/>
  <c r="D213" i="4"/>
  <c r="F213" i="4"/>
  <c r="G215" i="4"/>
  <c r="D215" i="4"/>
  <c r="F215" i="4"/>
  <c r="G217" i="4"/>
  <c r="F217" i="4"/>
  <c r="D217" i="4"/>
  <c r="G221" i="4"/>
  <c r="F221" i="4"/>
  <c r="D221" i="4"/>
  <c r="G225" i="4"/>
  <c r="F225" i="4"/>
  <c r="D225" i="4"/>
  <c r="G229" i="4"/>
  <c r="F229" i="4"/>
  <c r="D229" i="4"/>
  <c r="G233" i="4"/>
  <c r="F233" i="4"/>
  <c r="D233" i="4"/>
  <c r="G237" i="4"/>
  <c r="F237" i="4"/>
  <c r="D237" i="4"/>
  <c r="G218" i="4"/>
  <c r="F218" i="4"/>
  <c r="D218" i="4"/>
  <c r="G222" i="4"/>
  <c r="F222" i="4"/>
  <c r="D222" i="4"/>
  <c r="G226" i="4"/>
  <c r="F226" i="4"/>
  <c r="D226" i="4"/>
  <c r="G230" i="4"/>
  <c r="F230" i="4"/>
  <c r="D230" i="4"/>
  <c r="G234" i="4"/>
  <c r="F234" i="4"/>
  <c r="D234" i="4"/>
  <c r="G238" i="4"/>
  <c r="F238" i="4"/>
  <c r="D238" i="4"/>
  <c r="G182" i="4"/>
  <c r="D182" i="4"/>
  <c r="F182" i="4"/>
  <c r="G184" i="4"/>
  <c r="D184" i="4"/>
  <c r="F184" i="4"/>
  <c r="G186" i="4"/>
  <c r="D186" i="4"/>
  <c r="F186" i="4"/>
  <c r="G188" i="4"/>
  <c r="D188" i="4"/>
  <c r="F188" i="4"/>
  <c r="G190" i="4"/>
  <c r="D190" i="4"/>
  <c r="F190" i="4"/>
  <c r="G192" i="4"/>
  <c r="D192" i="4"/>
  <c r="F192" i="4"/>
  <c r="G194" i="4"/>
  <c r="D194" i="4"/>
  <c r="F194" i="4"/>
  <c r="G196" i="4"/>
  <c r="D196" i="4"/>
  <c r="F196" i="4"/>
  <c r="G198" i="4"/>
  <c r="D198" i="4"/>
  <c r="F198" i="4"/>
  <c r="G200" i="4"/>
  <c r="D200" i="4"/>
  <c r="F200" i="4"/>
  <c r="G202" i="4"/>
  <c r="D202" i="4"/>
  <c r="F202" i="4"/>
  <c r="G204" i="4"/>
  <c r="D204" i="4"/>
  <c r="F204" i="4"/>
  <c r="G206" i="4"/>
  <c r="D206" i="4"/>
  <c r="F206" i="4"/>
  <c r="G208" i="4"/>
  <c r="D208" i="4"/>
  <c r="F208" i="4"/>
  <c r="G210" i="4"/>
  <c r="D210" i="4"/>
  <c r="F210" i="4"/>
  <c r="G212" i="4"/>
  <c r="D212" i="4"/>
  <c r="F212" i="4"/>
  <c r="G214" i="4"/>
  <c r="D214" i="4"/>
  <c r="F214" i="4"/>
  <c r="G216" i="4"/>
  <c r="D216" i="4"/>
  <c r="F216" i="4"/>
  <c r="G219" i="4"/>
  <c r="F219" i="4"/>
  <c r="D219" i="4"/>
  <c r="G223" i="4"/>
  <c r="F223" i="4"/>
  <c r="D223" i="4"/>
  <c r="G227" i="4"/>
  <c r="F227" i="4"/>
  <c r="D227" i="4"/>
  <c r="G231" i="4"/>
  <c r="F231" i="4"/>
  <c r="D231" i="4"/>
  <c r="G235" i="4"/>
  <c r="F235" i="4"/>
  <c r="D235" i="4"/>
  <c r="G239" i="4"/>
  <c r="F239" i="4"/>
  <c r="D239" i="4"/>
  <c r="G220" i="4"/>
  <c r="F220" i="4"/>
  <c r="D220" i="4"/>
  <c r="G224" i="4"/>
  <c r="F224" i="4"/>
  <c r="D224" i="4"/>
  <c r="G228" i="4"/>
  <c r="F228" i="4"/>
  <c r="D228" i="4"/>
  <c r="G232" i="4"/>
  <c r="F232" i="4"/>
  <c r="D232" i="4"/>
  <c r="G236" i="4"/>
  <c r="F236" i="4"/>
  <c r="D236" i="4"/>
  <c r="G240" i="4"/>
  <c r="F240" i="4"/>
  <c r="D240" i="4"/>
  <c r="G241" i="4"/>
  <c r="F241" i="4"/>
  <c r="D241" i="4"/>
  <c r="G123" i="4"/>
  <c r="D123" i="4"/>
  <c r="F123" i="4"/>
  <c r="G125" i="4"/>
  <c r="D125" i="4"/>
  <c r="F125" i="4"/>
  <c r="G127" i="4"/>
  <c r="D127" i="4"/>
  <c r="F127" i="4"/>
  <c r="G129" i="4"/>
  <c r="D129" i="4"/>
  <c r="F129" i="4"/>
  <c r="G131" i="4"/>
  <c r="D131" i="4"/>
  <c r="F131" i="4"/>
  <c r="G133" i="4"/>
  <c r="D133" i="4"/>
  <c r="F133" i="4"/>
  <c r="G135" i="4"/>
  <c r="D135" i="4"/>
  <c r="F135" i="4"/>
  <c r="G137" i="4"/>
  <c r="D137" i="4"/>
  <c r="F137" i="4"/>
  <c r="G139" i="4"/>
  <c r="D139" i="4"/>
  <c r="F139" i="4"/>
  <c r="G141" i="4"/>
  <c r="D141" i="4"/>
  <c r="F141" i="4"/>
  <c r="G143" i="4"/>
  <c r="D143" i="4"/>
  <c r="F143" i="4"/>
  <c r="G145" i="4"/>
  <c r="D145" i="4"/>
  <c r="F145" i="4"/>
  <c r="G147" i="4"/>
  <c r="D147" i="4"/>
  <c r="F147" i="4"/>
  <c r="G149" i="4"/>
  <c r="D149" i="4"/>
  <c r="F149" i="4"/>
  <c r="G151" i="4"/>
  <c r="D151" i="4"/>
  <c r="F151" i="4"/>
  <c r="G153" i="4"/>
  <c r="D153" i="4"/>
  <c r="F153" i="4"/>
  <c r="G155" i="4"/>
  <c r="D155" i="4"/>
  <c r="F155" i="4"/>
  <c r="G157" i="4"/>
  <c r="F157" i="4"/>
  <c r="D157" i="4"/>
  <c r="G161" i="4"/>
  <c r="F161" i="4"/>
  <c r="D161" i="4"/>
  <c r="G165" i="4"/>
  <c r="F165" i="4"/>
  <c r="D165" i="4"/>
  <c r="G169" i="4"/>
  <c r="F169" i="4"/>
  <c r="D169" i="4"/>
  <c r="G173" i="4"/>
  <c r="F173" i="4"/>
  <c r="D173" i="4"/>
  <c r="G177" i="4"/>
  <c r="F177" i="4"/>
  <c r="D177" i="4"/>
  <c r="G158" i="4"/>
  <c r="F158" i="4"/>
  <c r="D158" i="4"/>
  <c r="G162" i="4"/>
  <c r="F162" i="4"/>
  <c r="D162" i="4"/>
  <c r="G166" i="4"/>
  <c r="F166" i="4"/>
  <c r="D166" i="4"/>
  <c r="G170" i="4"/>
  <c r="F170" i="4"/>
  <c r="D170" i="4"/>
  <c r="G174" i="4"/>
  <c r="F174" i="4"/>
  <c r="D174" i="4"/>
  <c r="G178" i="4"/>
  <c r="F178" i="4"/>
  <c r="D178" i="4"/>
  <c r="G122" i="4"/>
  <c r="D122" i="4"/>
  <c r="F122" i="4"/>
  <c r="G124" i="4"/>
  <c r="D124" i="4"/>
  <c r="F124" i="4"/>
  <c r="G126" i="4"/>
  <c r="D126" i="4"/>
  <c r="F126" i="4"/>
  <c r="G128" i="4"/>
  <c r="D128" i="4"/>
  <c r="F128" i="4"/>
  <c r="G130" i="4"/>
  <c r="D130" i="4"/>
  <c r="F130" i="4"/>
  <c r="G132" i="4"/>
  <c r="D132" i="4"/>
  <c r="F132" i="4"/>
  <c r="G134" i="4"/>
  <c r="D134" i="4"/>
  <c r="F134" i="4"/>
  <c r="G136" i="4"/>
  <c r="D136" i="4"/>
  <c r="F136" i="4"/>
  <c r="G138" i="4"/>
  <c r="D138" i="4"/>
  <c r="F138" i="4"/>
  <c r="G140" i="4"/>
  <c r="D140" i="4"/>
  <c r="F140" i="4"/>
  <c r="G142" i="4"/>
  <c r="D142" i="4"/>
  <c r="F142" i="4"/>
  <c r="G144" i="4"/>
  <c r="D144" i="4"/>
  <c r="F144" i="4"/>
  <c r="G146" i="4"/>
  <c r="D146" i="4"/>
  <c r="F146" i="4"/>
  <c r="G148" i="4"/>
  <c r="D148" i="4"/>
  <c r="F148" i="4"/>
  <c r="G150" i="4"/>
  <c r="D150" i="4"/>
  <c r="F150" i="4"/>
  <c r="G152" i="4"/>
  <c r="D152" i="4"/>
  <c r="F152" i="4"/>
  <c r="G154" i="4"/>
  <c r="D154" i="4"/>
  <c r="F154" i="4"/>
  <c r="G156" i="4"/>
  <c r="D156" i="4"/>
  <c r="F156" i="4"/>
  <c r="G159" i="4"/>
  <c r="F159" i="4"/>
  <c r="D159" i="4"/>
  <c r="G163" i="4"/>
  <c r="F163" i="4"/>
  <c r="D163" i="4"/>
  <c r="G167" i="4"/>
  <c r="F167" i="4"/>
  <c r="D167" i="4"/>
  <c r="G171" i="4"/>
  <c r="F171" i="4"/>
  <c r="D171" i="4"/>
  <c r="G175" i="4"/>
  <c r="F175" i="4"/>
  <c r="D175" i="4"/>
  <c r="G179" i="4"/>
  <c r="F179" i="4"/>
  <c r="D179" i="4"/>
  <c r="G160" i="4"/>
  <c r="F160" i="4"/>
  <c r="D160" i="4"/>
  <c r="G164" i="4"/>
  <c r="F164" i="4"/>
  <c r="D164" i="4"/>
  <c r="G168" i="4"/>
  <c r="F168" i="4"/>
  <c r="D168" i="4"/>
  <c r="G172" i="4"/>
  <c r="F172" i="4"/>
  <c r="D172" i="4"/>
  <c r="G176" i="4"/>
  <c r="F176" i="4"/>
  <c r="D176" i="4"/>
  <c r="G180" i="4"/>
  <c r="F180" i="4"/>
  <c r="D180" i="4"/>
  <c r="G181" i="4"/>
  <c r="F181" i="4"/>
  <c r="D181" i="4"/>
  <c r="G67" i="4"/>
  <c r="D67" i="4"/>
  <c r="F67" i="4"/>
  <c r="G71" i="4"/>
  <c r="D71" i="4"/>
  <c r="F71" i="4"/>
  <c r="G75" i="4"/>
  <c r="D75" i="4"/>
  <c r="F75" i="4"/>
  <c r="G79" i="4"/>
  <c r="D79" i="4"/>
  <c r="F79" i="4"/>
  <c r="G83" i="4"/>
  <c r="D83" i="4"/>
  <c r="F83" i="4"/>
  <c r="G85" i="4"/>
  <c r="D85" i="4"/>
  <c r="F85" i="4"/>
  <c r="G91" i="4"/>
  <c r="D91" i="4"/>
  <c r="F91" i="4"/>
  <c r="G93" i="4"/>
  <c r="D93" i="4"/>
  <c r="F93" i="4"/>
  <c r="G97" i="4"/>
  <c r="F97" i="4"/>
  <c r="D97" i="4"/>
  <c r="G105" i="4"/>
  <c r="F105" i="4"/>
  <c r="D105" i="4"/>
  <c r="G113" i="4"/>
  <c r="F113" i="4"/>
  <c r="D113" i="4"/>
  <c r="G102" i="4"/>
  <c r="F102" i="4"/>
  <c r="D102" i="4"/>
  <c r="G106" i="4"/>
  <c r="F106" i="4"/>
  <c r="D106" i="4"/>
  <c r="G114" i="4"/>
  <c r="F114" i="4"/>
  <c r="D114" i="4"/>
  <c r="G64" i="4"/>
  <c r="D64" i="4"/>
  <c r="F64" i="4"/>
  <c r="G68" i="4"/>
  <c r="D68" i="4"/>
  <c r="F68" i="4"/>
  <c r="G72" i="4"/>
  <c r="D72" i="4"/>
  <c r="F72" i="4"/>
  <c r="G74" i="4"/>
  <c r="D74" i="4"/>
  <c r="F74" i="4"/>
  <c r="G78" i="4"/>
  <c r="D78" i="4"/>
  <c r="F78" i="4"/>
  <c r="G80" i="4"/>
  <c r="D80" i="4"/>
  <c r="F80" i="4"/>
  <c r="G82" i="4"/>
  <c r="D82" i="4"/>
  <c r="F82" i="4"/>
  <c r="G84" i="4"/>
  <c r="D84" i="4"/>
  <c r="F84" i="4"/>
  <c r="G86" i="4"/>
  <c r="D86" i="4"/>
  <c r="F86" i="4"/>
  <c r="G88" i="4"/>
  <c r="D88" i="4"/>
  <c r="F88" i="4"/>
  <c r="G90" i="4"/>
  <c r="D90" i="4"/>
  <c r="F90" i="4"/>
  <c r="G92" i="4"/>
  <c r="D92" i="4"/>
  <c r="F92" i="4"/>
  <c r="G94" i="4"/>
  <c r="D94" i="4"/>
  <c r="F94" i="4"/>
  <c r="G96" i="4"/>
  <c r="D96" i="4"/>
  <c r="F96" i="4"/>
  <c r="G99" i="4"/>
  <c r="F99" i="4"/>
  <c r="D99" i="4"/>
  <c r="G103" i="4"/>
  <c r="F103" i="4"/>
  <c r="D103" i="4"/>
  <c r="G107" i="4"/>
  <c r="F107" i="4"/>
  <c r="D107" i="4"/>
  <c r="G111" i="4"/>
  <c r="F111" i="4"/>
  <c r="D111" i="4"/>
  <c r="G115" i="4"/>
  <c r="F115" i="4"/>
  <c r="D115" i="4"/>
  <c r="G119" i="4"/>
  <c r="F119" i="4"/>
  <c r="D119" i="4"/>
  <c r="G63" i="4"/>
  <c r="D63" i="4"/>
  <c r="F63" i="4"/>
  <c r="G65" i="4"/>
  <c r="D65" i="4"/>
  <c r="F65" i="4"/>
  <c r="G69" i="4"/>
  <c r="D69" i="4"/>
  <c r="F69" i="4"/>
  <c r="G73" i="4"/>
  <c r="D73" i="4"/>
  <c r="F73" i="4"/>
  <c r="G77" i="4"/>
  <c r="D77" i="4"/>
  <c r="F77" i="4"/>
  <c r="G81" i="4"/>
  <c r="D81" i="4"/>
  <c r="F81" i="4"/>
  <c r="G87" i="4"/>
  <c r="D87" i="4"/>
  <c r="F87" i="4"/>
  <c r="G89" i="4"/>
  <c r="D89" i="4"/>
  <c r="F89" i="4"/>
  <c r="G95" i="4"/>
  <c r="D95" i="4"/>
  <c r="F95" i="4"/>
  <c r="G101" i="4"/>
  <c r="F101" i="4"/>
  <c r="D101" i="4"/>
  <c r="G109" i="4"/>
  <c r="F109" i="4"/>
  <c r="D109" i="4"/>
  <c r="G117" i="4"/>
  <c r="F117" i="4"/>
  <c r="D117" i="4"/>
  <c r="G98" i="4"/>
  <c r="F98" i="4"/>
  <c r="D98" i="4"/>
  <c r="G110" i="4"/>
  <c r="F110" i="4"/>
  <c r="D110" i="4"/>
  <c r="G118" i="4"/>
  <c r="F118" i="4"/>
  <c r="D118" i="4"/>
  <c r="G62" i="4"/>
  <c r="D62" i="4"/>
  <c r="F62" i="4"/>
  <c r="G66" i="4"/>
  <c r="D66" i="4"/>
  <c r="F66" i="4"/>
  <c r="G70" i="4"/>
  <c r="D70" i="4"/>
  <c r="F70" i="4"/>
  <c r="G76" i="4"/>
  <c r="D76" i="4"/>
  <c r="F76" i="4"/>
  <c r="G100" i="4"/>
  <c r="F100" i="4"/>
  <c r="D100" i="4"/>
  <c r="G104" i="4"/>
  <c r="F104" i="4"/>
  <c r="D104" i="4"/>
  <c r="G108" i="4"/>
  <c r="F108" i="4"/>
  <c r="D108" i="4"/>
  <c r="G112" i="4"/>
  <c r="F112" i="4"/>
  <c r="D112" i="4"/>
  <c r="G116" i="4"/>
  <c r="F116" i="4"/>
  <c r="D116" i="4"/>
  <c r="G120" i="4"/>
  <c r="F120" i="4"/>
  <c r="D120" i="4"/>
  <c r="G121" i="4"/>
  <c r="F121" i="4"/>
  <c r="D121" i="4"/>
  <c r="E67" i="3"/>
  <c r="E63" i="3"/>
  <c r="E59" i="3"/>
  <c r="E55" i="3"/>
  <c r="E51" i="3"/>
  <c r="E47" i="3"/>
  <c r="E43" i="3"/>
  <c r="E39" i="3"/>
  <c r="E107" i="3"/>
  <c r="E99" i="3"/>
  <c r="E91" i="3"/>
  <c r="E83" i="3"/>
  <c r="E75" i="3"/>
  <c r="E109" i="3"/>
  <c r="E101" i="3"/>
  <c r="E93" i="3"/>
  <c r="E85" i="3"/>
  <c r="E77" i="3"/>
  <c r="E111" i="3"/>
  <c r="E103" i="3"/>
  <c r="E95" i="3"/>
  <c r="E87" i="3"/>
  <c r="E79" i="3"/>
  <c r="E71" i="3"/>
  <c r="E68" i="3"/>
  <c r="E64" i="3"/>
  <c r="E60" i="3"/>
  <c r="E56" i="3"/>
  <c r="E52" i="3"/>
  <c r="E48" i="3"/>
  <c r="E44" i="3"/>
  <c r="E40" i="3"/>
  <c r="E36" i="3"/>
  <c r="E32" i="3"/>
  <c r="E28" i="3"/>
  <c r="E24" i="3"/>
  <c r="E105" i="3"/>
  <c r="E97" i="3"/>
  <c r="E89" i="3"/>
  <c r="E81" i="3"/>
  <c r="E73" i="3"/>
  <c r="F2" i="4"/>
  <c r="F58" i="4"/>
  <c r="F54" i="4"/>
  <c r="F50" i="4"/>
  <c r="F46" i="4"/>
  <c r="F42" i="4"/>
  <c r="F38" i="4"/>
  <c r="F34" i="4"/>
  <c r="F30" i="4"/>
  <c r="F26" i="4"/>
  <c r="F22" i="4"/>
  <c r="F18" i="4"/>
  <c r="F14" i="4"/>
  <c r="F10" i="4"/>
  <c r="F6" i="4"/>
  <c r="F61" i="4"/>
  <c r="F57" i="4"/>
  <c r="F53" i="4"/>
  <c r="F49" i="4"/>
  <c r="F45" i="4"/>
  <c r="F41" i="4"/>
  <c r="F37" i="4"/>
  <c r="F33" i="4"/>
  <c r="F29" i="4"/>
  <c r="F25" i="4"/>
  <c r="F21" i="4"/>
  <c r="F17" i="4"/>
  <c r="F13" i="4"/>
  <c r="F9" i="4"/>
  <c r="F5" i="4"/>
  <c r="F60" i="4"/>
  <c r="F56" i="4"/>
  <c r="F52" i="4"/>
  <c r="F48" i="4"/>
  <c r="F44" i="4"/>
  <c r="F40" i="4"/>
  <c r="F36" i="4"/>
  <c r="F32" i="4"/>
  <c r="F28" i="4"/>
  <c r="F24" i="4"/>
  <c r="F20" i="4"/>
  <c r="F16" i="4"/>
  <c r="F12" i="4"/>
  <c r="F8" i="4"/>
  <c r="F4" i="4"/>
  <c r="F59" i="4"/>
  <c r="F55" i="4"/>
  <c r="F51" i="4"/>
  <c r="F47" i="4"/>
  <c r="F43" i="4"/>
  <c r="F39" i="4"/>
  <c r="F35" i="4"/>
  <c r="F31" i="4"/>
  <c r="F27" i="4"/>
  <c r="F23" i="4"/>
  <c r="F19" i="4"/>
  <c r="F15" i="4"/>
  <c r="F11" i="4"/>
  <c r="F7" i="4"/>
  <c r="F3" i="4"/>
</calcChain>
</file>

<file path=xl/sharedStrings.xml><?xml version="1.0" encoding="utf-8"?>
<sst xmlns="http://schemas.openxmlformats.org/spreadsheetml/2006/main" count="4039" uniqueCount="582">
  <si>
    <t>ok vincent. we have decided to give you the job of populating the database, since it is a solo job and we are all collaborating here.</t>
  </si>
  <si>
    <t>we need: 50 suppliers with 20 ingredients each</t>
  </si>
  <si>
    <t>and 10 vendors</t>
  </si>
  <si>
    <t>please complete it by today, no alternatives. thanks from all of us.</t>
  </si>
  <si>
    <t>Picadilly Market Grill &amp; BKY</t>
  </si>
  <si>
    <t>American Discount Foods</t>
  </si>
  <si>
    <t>Hawaiian Isles Water CO</t>
  </si>
  <si>
    <t>American Estates Wines</t>
  </si>
  <si>
    <t>Java Detour</t>
  </si>
  <si>
    <t>Nembo Imports</t>
  </si>
  <si>
    <t>Buehlers Foods Inc</t>
  </si>
  <si>
    <t>Ester C CO</t>
  </si>
  <si>
    <t>Natural Pharmacy</t>
  </si>
  <si>
    <t>NW Core Collection</t>
  </si>
  <si>
    <t>C Plus</t>
  </si>
  <si>
    <t>Saigon Deli</t>
  </si>
  <si>
    <t>College Hill Coffee CO</t>
  </si>
  <si>
    <t>Main St Market</t>
  </si>
  <si>
    <t>Lambeth Groves Llc</t>
  </si>
  <si>
    <t>Turkey Hill Minit Market</t>
  </si>
  <si>
    <t>Hy Vee Floral</t>
  </si>
  <si>
    <t>B &amp; G Gourmet Of Hillsdale</t>
  </si>
  <si>
    <t>Smoky Bay Natural Foods Inc</t>
  </si>
  <si>
    <t>Baseline Ii Inc</t>
  </si>
  <si>
    <t>Brownies</t>
  </si>
  <si>
    <t>Kountry Korner Grocery Store</t>
  </si>
  <si>
    <t>SAL Daylight Donuts</t>
  </si>
  <si>
    <t>Sovereign Grounds</t>
  </si>
  <si>
    <t>Quick Trip</t>
  </si>
  <si>
    <t>K C Foods</t>
  </si>
  <si>
    <t>Natural Foods Store</t>
  </si>
  <si>
    <t>LA India Brand</t>
  </si>
  <si>
    <t>Bill Champ</t>
  </si>
  <si>
    <t>Alex Lee Inc</t>
  </si>
  <si>
    <t>Friday Harbor Market Place</t>
  </si>
  <si>
    <t>People Gotta Eat</t>
  </si>
  <si>
    <t>Hot Spot Stores</t>
  </si>
  <si>
    <t>Drug Warehouse Wine &amp; Spirits</t>
  </si>
  <si>
    <t>King Soopers 65</t>
  </si>
  <si>
    <t>Adonijah Health Food</t>
  </si>
  <si>
    <t>Bike Stop</t>
  </si>
  <si>
    <t>Chocolate Studio</t>
  </si>
  <si>
    <t>Olympic Bagel Company Inc</t>
  </si>
  <si>
    <t>RGA Enterprises</t>
  </si>
  <si>
    <t>Desert Sage Herbs Inc</t>
  </si>
  <si>
    <t>Western Botanicals Inc</t>
  </si>
  <si>
    <t>Cleos Seafood</t>
  </si>
  <si>
    <t>Captain Marden</t>
  </si>
  <si>
    <t>Food Town</t>
  </si>
  <si>
    <t>Coffee Beanery</t>
  </si>
  <si>
    <t>Breaux Mart Supermarkets</t>
  </si>
  <si>
    <t>Mars Cafe</t>
  </si>
  <si>
    <t>Wholesome Wonder Bread</t>
  </si>
  <si>
    <t>supplier_description</t>
  </si>
  <si>
    <t>supplier_type</t>
  </si>
  <si>
    <t>password</t>
  </si>
  <si>
    <t>email</t>
  </si>
  <si>
    <t>area_code</t>
  </si>
  <si>
    <t>telephone_number</t>
  </si>
  <si>
    <t>supplier_id</t>
  </si>
  <si>
    <t>supplier_name</t>
  </si>
  <si>
    <t>Parin1957@armyspy.com</t>
  </si>
  <si>
    <t>Punucapa</t>
  </si>
  <si>
    <t>Iltapata</t>
  </si>
  <si>
    <t>Pichicolo</t>
  </si>
  <si>
    <t>Araucana</t>
  </si>
  <si>
    <t>Farellones</t>
  </si>
  <si>
    <t>Apiau</t>
  </si>
  <si>
    <t>Galvarino</t>
  </si>
  <si>
    <t>Caracoles</t>
  </si>
  <si>
    <t>Huilque</t>
  </si>
  <si>
    <t>Matanzas</t>
  </si>
  <si>
    <t>Collaguasi</t>
  </si>
  <si>
    <t>Chilacaya</t>
  </si>
  <si>
    <t>Loncopahue</t>
  </si>
  <si>
    <t>Mocopulle</t>
  </si>
  <si>
    <t>Conanoxa</t>
  </si>
  <si>
    <t>Quinquegua</t>
  </si>
  <si>
    <t>Ñancul</t>
  </si>
  <si>
    <t>Huequecura</t>
  </si>
  <si>
    <t>Llimpo</t>
  </si>
  <si>
    <t>Ipres</t>
  </si>
  <si>
    <t>Tacata</t>
  </si>
  <si>
    <t>Tijeral</t>
  </si>
  <si>
    <t>Chapire</t>
  </si>
  <si>
    <t>Marchihue</t>
  </si>
  <si>
    <t>Alca</t>
  </si>
  <si>
    <t>Rarinco</t>
  </si>
  <si>
    <t>Churigualla</t>
  </si>
  <si>
    <t>Pachica</t>
  </si>
  <si>
    <t>Maiquillahue</t>
  </si>
  <si>
    <t>Gualliguaica</t>
  </si>
  <si>
    <t>Cerrillos</t>
  </si>
  <si>
    <t>Buenaventura</t>
  </si>
  <si>
    <t>Puchilco</t>
  </si>
  <si>
    <t>Quistagama</t>
  </si>
  <si>
    <t>Hualaihué</t>
  </si>
  <si>
    <t>Gultro</t>
  </si>
  <si>
    <t>Chigualoco</t>
  </si>
  <si>
    <t>Loros</t>
  </si>
  <si>
    <t>Huecahuecan</t>
  </si>
  <si>
    <t>Lancagua</t>
  </si>
  <si>
    <t>Pejerrey</t>
  </si>
  <si>
    <t>Central</t>
  </si>
  <si>
    <t>Negrete</t>
  </si>
  <si>
    <t>Chinquio</t>
  </si>
  <si>
    <t>Ausipas</t>
  </si>
  <si>
    <t>Junquillar</t>
  </si>
  <si>
    <t>Ayrocollo</t>
  </si>
  <si>
    <t>Curanilahue</t>
  </si>
  <si>
    <t>Mellipilla</t>
  </si>
  <si>
    <t>Pumanque</t>
  </si>
  <si>
    <t>western</t>
  </si>
  <si>
    <t>asian</t>
  </si>
  <si>
    <t>fusion</t>
  </si>
  <si>
    <t>vegetable</t>
  </si>
  <si>
    <t>beverage</t>
  </si>
  <si>
    <t>Food Help</t>
  </si>
  <si>
    <t>Hoyt Fusion Group</t>
  </si>
  <si>
    <t>Kaufmann Wine</t>
  </si>
  <si>
    <t>Tommy Boy Asian</t>
  </si>
  <si>
    <t>1013 Geylang East Avenue 3 #01-136</t>
  </si>
  <si>
    <t>49 Jalan Pemimpin APS INDUSTRIAL BUILDING</t>
  </si>
  <si>
    <t>1 Lok Yang Way Jurong #19B</t>
  </si>
  <si>
    <t>10 Pioneer Sector 1 #01-00</t>
  </si>
  <si>
    <t>Block 5022 Ang Mo Kio Industrial Park 2 #01-31</t>
  </si>
  <si>
    <t>70 Woodlands Industrial Park E</t>
  </si>
  <si>
    <t>86 International Road</t>
  </si>
  <si>
    <t>Block 192 Pandan Loop #01-26 PANTECH INDUSTRIAL COMPLEX</t>
  </si>
  <si>
    <t>31 Penjuru Lane</t>
  </si>
  <si>
    <t>8 Woodlands Loop</t>
  </si>
  <si>
    <t>11 Joo Koon Circle</t>
  </si>
  <si>
    <t>1002 Eunos Avenue 8 #01-42</t>
  </si>
  <si>
    <t>126 Gul Circle</t>
  </si>
  <si>
    <t>642 Rowell Road #02-115</t>
  </si>
  <si>
    <t>545 Orchard Road #11-13 Far East Shopping Centre</t>
  </si>
  <si>
    <t>90 Horne Road</t>
  </si>
  <si>
    <t>25 Tuas Avenue 2</t>
  </si>
  <si>
    <t>206 Tagore Lane</t>
  </si>
  <si>
    <t>50 Hillview Terrace</t>
  </si>
  <si>
    <t>30 Loyang Way, Loyang Industrial Estate #03-04</t>
  </si>
  <si>
    <t>35 Pioneer Sector 2</t>
  </si>
  <si>
    <t>No. 6 Sixth Lok Yang Road Jurong Industrial Estate</t>
  </si>
  <si>
    <t>9 Tuas Avenue 18</t>
  </si>
  <si>
    <t>104 Jurong East Street 13 #01-102</t>
  </si>
  <si>
    <t>39 Defu Lane 7</t>
  </si>
  <si>
    <t>11 Tanjong Rhu Road #18-01 The Waterside</t>
  </si>
  <si>
    <t>No. 29 Woodlands Industrial Park E1 #04-17 Northtech</t>
  </si>
  <si>
    <t>491B River Valley Road #04-01 Valley Point Office Tower</t>
  </si>
  <si>
    <t>55 Hume Avenue #06-09</t>
  </si>
  <si>
    <t>Blk 2021 Bukit Batok Street 23 #01-226</t>
  </si>
  <si>
    <t>Block 3005 Ubi Avenue 3 #01-64</t>
  </si>
  <si>
    <t>3018 Bedok Nth St 5 #01-32 Singapore 486132</t>
  </si>
  <si>
    <t>Paya Lebar Rd Singapore 1440</t>
  </si>
  <si>
    <t>6 Joo Koon Crescent</t>
  </si>
  <si>
    <t>32 Tuas View Loop</t>
  </si>
  <si>
    <t>3016 Bedok Nth Ave 4 #01-03</t>
  </si>
  <si>
    <t>15 Pioneer Sector 2</t>
  </si>
  <si>
    <t>51 Tuas Ave 1 Singapore 639501 </t>
  </si>
  <si>
    <t>623 Aljunied Road #07-03 ALJUNIED INDUSTRIAL COMPLEX</t>
  </si>
  <si>
    <t>21 Lor Ampas #09-00 Singapore 328782</t>
  </si>
  <si>
    <t>66 Tannery Lane #01-04D Sindo Building</t>
  </si>
  <si>
    <t>26 Benoi Sector Jurong</t>
  </si>
  <si>
    <t>322D King Georges Avenue</t>
  </si>
  <si>
    <t>8 Tanjong Penjuru JURONG INDUSTRIAL ESTATE</t>
  </si>
  <si>
    <t>44 Pioneer Sector 2</t>
  </si>
  <si>
    <t>8 Tanjong Penjuru</t>
  </si>
  <si>
    <t>11 Kian Teck Road</t>
  </si>
  <si>
    <t>261 Waterloo Street #02-26</t>
  </si>
  <si>
    <t>Blk 9-H Yuan Ching Road #15-82</t>
  </si>
  <si>
    <t>20 Shaw Road #06-05 CHING SHINE INDUSTRIAL BUILDING</t>
  </si>
  <si>
    <t>1 Scotts Road #16-12</t>
  </si>
  <si>
    <t>23A Jalan Grisek</t>
  </si>
  <si>
    <t>8A Tuas Ave 13 Singapore 638981</t>
  </si>
  <si>
    <t>Block 3016 Bedok North Avenue 4 #01-03 EASTECH</t>
  </si>
  <si>
    <t>48 Tuas Basin Link Singapore 638778 </t>
  </si>
  <si>
    <t>1 Bt Batok St 22 #03-28 Singapore 659592</t>
  </si>
  <si>
    <t>50 Kian Teck Road</t>
  </si>
  <si>
    <t>63 Hillview Ave #03-09 Lam Soon Ind Bldg Singapore 669569 </t>
  </si>
  <si>
    <t>Block 35 Tannery Road #11-10 Tannery Block, Ruby Industrial Complex</t>
  </si>
  <si>
    <t>5 Tuas Avenue 3 Bok Seng Building</t>
  </si>
  <si>
    <t>address (random generated)</t>
  </si>
  <si>
    <t>vendor_id</t>
  </si>
  <si>
    <t>vendor_name</t>
  </si>
  <si>
    <t>vendor_description</t>
  </si>
  <si>
    <t>vendor_type</t>
  </si>
  <si>
    <t>Le Peep Restaurant</t>
  </si>
  <si>
    <t>Chinalite</t>
  </si>
  <si>
    <t>Heritage Society</t>
  </si>
  <si>
    <t>Breakers Sports Bar &amp; Grill</t>
  </si>
  <si>
    <t>Old Timers Restaurant</t>
  </si>
  <si>
    <t>Main Street Depot</t>
  </si>
  <si>
    <t>Perryville Inn</t>
  </si>
  <si>
    <t xml:space="preserve"> `ingredient_name`</t>
  </si>
  <si>
    <t>offered_price</t>
  </si>
  <si>
    <t>ingredient_description</t>
  </si>
  <si>
    <t>category</t>
  </si>
  <si>
    <t>supply_unit</t>
  </si>
  <si>
    <t>ingredient_name</t>
  </si>
  <si>
    <t>type</t>
  </si>
  <si>
    <t>can</t>
  </si>
  <si>
    <t>package</t>
  </si>
  <si>
    <t>piece</t>
  </si>
  <si>
    <t>bottle</t>
  </si>
  <si>
    <t>Price</t>
  </si>
  <si>
    <t>Denominator</t>
  </si>
  <si>
    <t>chocolate</t>
  </si>
  <si>
    <t>fish sauce</t>
  </si>
  <si>
    <t>tomatoes</t>
  </si>
  <si>
    <t>chard</t>
  </si>
  <si>
    <t>leeks</t>
  </si>
  <si>
    <t>lettuce</t>
  </si>
  <si>
    <t>mussels</t>
  </si>
  <si>
    <t>cantaloupes</t>
  </si>
  <si>
    <t>tea</t>
  </si>
  <si>
    <t>liver</t>
  </si>
  <si>
    <t>gelatin</t>
  </si>
  <si>
    <t>borscht</t>
  </si>
  <si>
    <t>corn</t>
  </si>
  <si>
    <t>canola oil</t>
  </si>
  <si>
    <t>poppy seeds</t>
  </si>
  <si>
    <t>sauerkraut</t>
  </si>
  <si>
    <t>spaghetti squash</t>
  </si>
  <si>
    <t>cabbage</t>
  </si>
  <si>
    <t>shrimp</t>
  </si>
  <si>
    <t>eggplants</t>
  </si>
  <si>
    <t>mackerel</t>
  </si>
  <si>
    <t>apples</t>
  </si>
  <si>
    <t>red pepper flakes</t>
  </si>
  <si>
    <t>plantains</t>
  </si>
  <si>
    <t>spearmint</t>
  </si>
  <si>
    <t>salsa</t>
  </si>
  <si>
    <t>gouda</t>
  </si>
  <si>
    <t>acorn squash</t>
  </si>
  <si>
    <t>hamburger</t>
  </si>
  <si>
    <t>garlic</t>
  </si>
  <si>
    <t>bean threads</t>
  </si>
  <si>
    <t>cooking wine</t>
  </si>
  <si>
    <t>applesauce</t>
  </si>
  <si>
    <t>pasta</t>
  </si>
  <si>
    <t>red snapper</t>
  </si>
  <si>
    <t>hash browns</t>
  </si>
  <si>
    <t>black-eyed peas</t>
  </si>
  <si>
    <t>french fries</t>
  </si>
  <si>
    <t>lobsters</t>
  </si>
  <si>
    <t>ale</t>
  </si>
  <si>
    <t>rose water</t>
  </si>
  <si>
    <t>peaches</t>
  </si>
  <si>
    <t>coriander</t>
  </si>
  <si>
    <t>hot sauce</t>
  </si>
  <si>
    <t>pumpkin seeds</t>
  </si>
  <si>
    <t>blue cheese</t>
  </si>
  <si>
    <t>mushrooms</t>
  </si>
  <si>
    <t>corned beef</t>
  </si>
  <si>
    <t>provolone</t>
  </si>
  <si>
    <t>pinto beans</t>
  </si>
  <si>
    <t>brandy</t>
  </si>
  <si>
    <t>cream of tartar</t>
  </si>
  <si>
    <t>colby cheese</t>
  </si>
  <si>
    <t>Marsala</t>
  </si>
  <si>
    <t>Canadian bacon</t>
  </si>
  <si>
    <t>coconut oil</t>
  </si>
  <si>
    <t>feta cheese</t>
  </si>
  <si>
    <t>half-and-half</t>
  </si>
  <si>
    <t>tomato puree</t>
  </si>
  <si>
    <t>steak</t>
  </si>
  <si>
    <t>cornmeal</t>
  </si>
  <si>
    <t>cottage cheese</t>
  </si>
  <si>
    <t>beets</t>
  </si>
  <si>
    <t>cayenne pepper</t>
  </si>
  <si>
    <t>salmon</t>
  </si>
  <si>
    <t>cream cheese</t>
  </si>
  <si>
    <t>pea beans</t>
  </si>
  <si>
    <t>buckwheat</t>
  </si>
  <si>
    <t>cremini mushrooms</t>
  </si>
  <si>
    <t>ricotta cheese</t>
  </si>
  <si>
    <t>berries</t>
  </si>
  <si>
    <t>arugula</t>
  </si>
  <si>
    <t>grouper</t>
  </si>
  <si>
    <t>jicama</t>
  </si>
  <si>
    <t>cornstarch</t>
  </si>
  <si>
    <t>strawberries</t>
  </si>
  <si>
    <t>amaretto</t>
  </si>
  <si>
    <t>baking soda</t>
  </si>
  <si>
    <t>red beans</t>
  </si>
  <si>
    <t>granola</t>
  </si>
  <si>
    <t>chestnuts</t>
  </si>
  <si>
    <t>nectarines</t>
  </si>
  <si>
    <t>fennel</t>
  </si>
  <si>
    <t>brussels sprouts</t>
  </si>
  <si>
    <t>broccoli</t>
  </si>
  <si>
    <t>flax seed</t>
  </si>
  <si>
    <t>bay leaves</t>
  </si>
  <si>
    <t>bean sprouts</t>
  </si>
  <si>
    <t>sesame seeds</t>
  </si>
  <si>
    <t>cream of tartar is a very nice food and beverage category that is categorized under western cuisine</t>
  </si>
  <si>
    <t>borscht is a very nice food and beverage category that is categorized under asian cuisine</t>
  </si>
  <si>
    <t>coriander is a very nice food and beverage category that is categorized under fusion cuisine</t>
  </si>
  <si>
    <t>colby cheese is a very nice food and beverage category that is categorized under fusion cuisine</t>
  </si>
  <si>
    <t>cornstarch is a very nice food and beverage category that is categorized under vegetable cuisine</t>
  </si>
  <si>
    <t>chard is a very nice food and beverage category that is categorized under beverage cuisine</t>
  </si>
  <si>
    <t>brandy is a very nice food and beverage category that is categorized under beverage cuisine</t>
  </si>
  <si>
    <t>Marsala is a very nice food and beverage category that is categorized under beverage cuisine</t>
  </si>
  <si>
    <t>cantaloupes is a very nice food and beverage category that is categorized under asian cuisine</t>
  </si>
  <si>
    <t>bay leaves is a very nice food and beverage category that is categorized under beverage cuisine</t>
  </si>
  <si>
    <t>mackerel is a very nice food and beverage category that is categorized under fusion cuisine</t>
  </si>
  <si>
    <t>grouper is a very nice food and beverage category that is categorized under asian cuisine</t>
  </si>
  <si>
    <t>cream cheese is a very nice food and beverage category that is categorized under fusion cuisine</t>
  </si>
  <si>
    <t>spearmint is a very nice food and beverage category that is categorized under fusion cuisine</t>
  </si>
  <si>
    <t>feta cheese is a very nice food and beverage category that is categorized under fusion cuisine</t>
  </si>
  <si>
    <t>cornmeal is a very nice food and beverage category that is categorized under asian cuisine</t>
  </si>
  <si>
    <t>buckwheat is a very nice food and beverage category that is categorized under beverage cuisine</t>
  </si>
  <si>
    <t>bean threads is a very nice food and beverage category that is categorized under western cuisine</t>
  </si>
  <si>
    <t>salmon is a very nice food and beverage category that is categorized under asian cuisine</t>
  </si>
  <si>
    <t>corned beef is a very nice food and beverage category that is categorized under western cuisine</t>
  </si>
  <si>
    <t>steak is a very nice food and beverage category that is categorized under western cuisine</t>
  </si>
  <si>
    <t>provolone is a very nice food and beverage category that is categorized under fusion cuisine</t>
  </si>
  <si>
    <t>jicama is a very nice food and beverage category that is categorized under beverage cuisine</t>
  </si>
  <si>
    <t>chestnuts is a very nice food and beverage category that is categorized under beverage cuisine</t>
  </si>
  <si>
    <t>red pepper flakes is a very nice food and beverage category that is categorized under fusion cuisine</t>
  </si>
  <si>
    <t>hamburger is a very nice food and beverage category that is categorized under western cuisine</t>
  </si>
  <si>
    <t>acorn squash is a very nice food and beverage category that is categorized under western cuisine</t>
  </si>
  <si>
    <t>cremini mushrooms is a very nice food and beverage category that is categorized under asian cuisine</t>
  </si>
  <si>
    <t>french fries is a very nice food and beverage category that is categorized under western cuisine</t>
  </si>
  <si>
    <t>half-and-half is a very nice food and beverage category that is categorized under vegetable cuisine</t>
  </si>
  <si>
    <t>apples is a very nice food and beverage category that is categorized under fusion cuisine</t>
  </si>
  <si>
    <t>coconut oil is a very nice food and beverage category that is categorized under asian cuisine</t>
  </si>
  <si>
    <t>nectarines is a very nice food and beverage category that is categorized under vegetable cuisine</t>
  </si>
  <si>
    <t>canola oil is a very nice food and beverage category that is categorized under western cuisine</t>
  </si>
  <si>
    <t>flax seed is a very nice food and beverage category that is categorized under vegetable cuisine</t>
  </si>
  <si>
    <t>ricotta cheese is a very nice food and beverage category that is categorized under fusion cuisine</t>
  </si>
  <si>
    <t>cottage cheese is a very nice food and beverage category that is categorized under fusion cuisine</t>
  </si>
  <si>
    <t>peaches is a very nice food and beverage category that is categorized under fusion cuisine</t>
  </si>
  <si>
    <t>plantains is a very nice food and beverage category that is categorized under fusion cuisine</t>
  </si>
  <si>
    <t>mushrooms is a very nice food and beverage category that is categorized under asian cuisine</t>
  </si>
  <si>
    <t>sauerkraut is a very nice food and beverage category that is categorized under western cuisine</t>
  </si>
  <si>
    <t>garlic is a very nice food and beverage category that is categorized under western cuisine</t>
  </si>
  <si>
    <t>amaretto is a very nice food and beverage category that is categorized under beverage cuisine</t>
  </si>
  <si>
    <t>spaghetti squash is a very nice food and beverage category that is categorized under western cuisine</t>
  </si>
  <si>
    <t>Canadian bacon is a very nice food and beverage category that is categorized under western cuisine</t>
  </si>
  <si>
    <t>baking soda is a very nice food and beverage category that is categorized under beverage cuisine</t>
  </si>
  <si>
    <t>broccoli is a very nice food and beverage category that is categorized under beverage cuisine</t>
  </si>
  <si>
    <t>tea is a very nice food and beverage category that is categorized under asian cuisine</t>
  </si>
  <si>
    <t>gelatin is a very nice food and beverage category that is categorized under asian cuisine</t>
  </si>
  <si>
    <t>corn is a very nice food and beverage category that is categorized under asian cuisine</t>
  </si>
  <si>
    <t>black-eyed peas is a very nice food and beverage category that is categorized under beverage cuisine</t>
  </si>
  <si>
    <t>ale is a very nice food and beverage category that is categorized under western cuisine</t>
  </si>
  <si>
    <t>liver is a very nice food and beverage category that is categorized under asian cuisine</t>
  </si>
  <si>
    <t>sesame seeds is a very nice food and beverage category that is categorized under vegetable cuisine</t>
  </si>
  <si>
    <t>hash browns is a very nice food and beverage category that is categorized under western cuisine</t>
  </si>
  <si>
    <t>poppy seeds is a very nice food and beverage category that is categorized under western cuisine</t>
  </si>
  <si>
    <t>applesauce is a very nice food and beverage category that is categorized under vegetable cuisine</t>
  </si>
  <si>
    <t>pasta is a very nice food and beverage category that is categorized under western cuisine</t>
  </si>
  <si>
    <t>lobsters is a very nice food and beverage category that is categorized under western cuisine</t>
  </si>
  <si>
    <t>pumpkin seeds is a very nice food and beverage category that is categorized under fusion cuisine</t>
  </si>
  <si>
    <t>beets is a very nice food and beverage category that is categorized under vegetable cuisine</t>
  </si>
  <si>
    <t>rose water is a very nice food and beverage category that is categorized under beverage cuisine</t>
  </si>
  <si>
    <t>cooking wine is a very nice food and beverage category that is categorized under beverage cuisine</t>
  </si>
  <si>
    <t>lettuce is a very nice food and beverage category that is categorized under asian cuisine</t>
  </si>
  <si>
    <t>mussels is a very nice food and beverage category that is categorized under asian cuisine</t>
  </si>
  <si>
    <t>berries is a very nice food and beverage category that is categorized under vegetable cuisine</t>
  </si>
  <si>
    <t>hot sauce is a very nice food and beverage category that is categorized under fusion cuisine</t>
  </si>
  <si>
    <t>eggplants is a very nice food and beverage category that is categorized under fusion cuisine</t>
  </si>
  <si>
    <t>leeks is a very nice food and beverage category that is categorized under asian cuisine</t>
  </si>
  <si>
    <t>granola is a very nice food and beverage category that is categorized under vegetable cuisine</t>
  </si>
  <si>
    <t>cayenne pepper is a very nice food and beverage category that is categorized under beverage cuisine</t>
  </si>
  <si>
    <t>tomato puree is a very nice food and beverage category that is categorized under beverage cuisine</t>
  </si>
  <si>
    <t>strawberries is a very nice food and beverage category that is categorized under vegetable cuisine</t>
  </si>
  <si>
    <t>brussels sprouts is a very nice food and beverage category that is categorized under vegetable cuisine</t>
  </si>
  <si>
    <t>fennel is a very nice food and beverage category that is categorized under beverage cuisine</t>
  </si>
  <si>
    <t>bean sprouts is a very nice food and beverage category that is categorized under vegetable cuisine</t>
  </si>
  <si>
    <t>red snapper is a very nice food and beverage category that is categorized under asian cuisine</t>
  </si>
  <si>
    <t>pinto beans is a very nice food and beverage category that is categorized under vegetable cuisine</t>
  </si>
  <si>
    <t>blue cheese is a very nice food and beverage category that is categorized under asian cuisine</t>
  </si>
  <si>
    <t>pea beans is a very nice food and beverage category that is categorized under vegetable cuisine</t>
  </si>
  <si>
    <t>cabbage is a very nice food and beverage category that is categorized under fusion cuisine</t>
  </si>
  <si>
    <t>arugula is a very nice food and beverage category that is categorized under beverage cuisine</t>
  </si>
  <si>
    <t>Breaded Ginger Pigeon</t>
  </si>
  <si>
    <t>Oven-Grilled Apricot &amp; Basil Mutton</t>
  </si>
  <si>
    <t>Engine-Cooked Mango &amp; Pine Crab</t>
  </si>
  <si>
    <t>Slow-Cooked Honey Herring</t>
  </si>
  <si>
    <t>Stuffed Light Beer Lasagne</t>
  </si>
  <si>
    <t>Thermal-Cooked Watercress Scrambled Egg</t>
  </si>
  <si>
    <t>Cranberry and Date Pastry</t>
  </si>
  <si>
    <t>Lemon and Mint Gingerbread</t>
  </si>
  <si>
    <t>Apple Buns</t>
  </si>
  <si>
    <t>Dark Chocolate Tarte Tatin</t>
  </si>
  <si>
    <t>Fire-Grilled Hot &amp; Spicy Pheasant</t>
  </si>
  <si>
    <t>Oven-Baked Chilli Rabbit</t>
  </si>
  <si>
    <t>Barbecued Curry of Herring</t>
  </si>
  <si>
    <t>Gentle-Fried Hot &amp; Spicy Crocodile</t>
  </si>
  <si>
    <t>Barbecued Mint &amp; Orange Pasta</t>
  </si>
  <si>
    <t>Stir-Fried Pine Spring Vegetables</t>
  </si>
  <si>
    <t>Rum and Nutmeg Split</t>
  </si>
  <si>
    <t>Melon and Chestnut Toffee</t>
  </si>
  <si>
    <t>Almond Bread</t>
  </si>
  <si>
    <t>Cocoa Pud</t>
  </si>
  <si>
    <t>Pan-Fried Garlic &amp; Lime Boar</t>
  </si>
  <si>
    <t>Stuffed Cranberry Duck</t>
  </si>
  <si>
    <t>Oven-Grilled Confit of Scallops</t>
  </si>
  <si>
    <t>Baked Egg &amp; Beet Shrimps</t>
  </si>
  <si>
    <t>Marinated Curry of Buns</t>
  </si>
  <si>
    <t>Stewed Garlic &amp; Tomato Rice</t>
  </si>
  <si>
    <t>White Chocolate and Walnut Sundae</t>
  </si>
  <si>
    <t>Orange and Vanilla Cake</t>
  </si>
  <si>
    <t>Chestnut Pastry</t>
  </si>
  <si>
    <t>Cherry Toast</t>
  </si>
  <si>
    <t>Slow-Cooked Mountain Turkey</t>
  </si>
  <si>
    <t>Shallow-Fried Peppermint Turkey</t>
  </si>
  <si>
    <t>Cured Garlic &amp; Rosemary Herring</t>
  </si>
  <si>
    <t>Fried Mushroom Prawns</t>
  </si>
  <si>
    <t>Tea-Smoked Cucumber &amp; Bread</t>
  </si>
  <si>
    <t>Fire-Roasted Carrots &amp; Ginger Linguine</t>
  </si>
  <si>
    <t>Chocolate and Walnut Yogurt</t>
  </si>
  <si>
    <t>Grape and Blueberry Pound Cake</t>
  </si>
  <si>
    <t>Peach Wafer</t>
  </si>
  <si>
    <t>Lime Roll</t>
  </si>
  <si>
    <t>Oven-Baked Carrots &amp; Ginger Mutton</t>
  </si>
  <si>
    <t>Brined Rosemary Chicken</t>
  </si>
  <si>
    <t>Marinated Sweet &amp; Fresh Lobster</t>
  </si>
  <si>
    <t>Shallow-Fried Basil &amp; Clove Fish</t>
  </si>
  <si>
    <t>Oven-Grilled Basil &amp; Clove Soup</t>
  </si>
  <si>
    <t>Simmered Pasta &amp; Taco</t>
  </si>
  <si>
    <t>Cherry and Raspberry Cheesecake</t>
  </si>
  <si>
    <t>Passion Fruit and Coconut Gingerbread</t>
  </si>
  <si>
    <t>Praline Buns</t>
  </si>
  <si>
    <t>Walnut Sorbet</t>
  </si>
  <si>
    <t>dish_id</t>
  </si>
  <si>
    <t>dish_name</t>
  </si>
  <si>
    <t>dish_description</t>
  </si>
  <si>
    <t>Fire-Grilled Lime &amp; Ginger Boar</t>
  </si>
  <si>
    <t>Slow-Cooked Beets &amp; Lemon Venison</t>
  </si>
  <si>
    <t>Broasted Fennel &amp; Lemon Tuna</t>
  </si>
  <si>
    <t>Barbecued Peppermint Cockles</t>
  </si>
  <si>
    <t>Engine-Cooked Onions &amp; Tomato Winter Vegetables</t>
  </si>
  <si>
    <t>Stewed Chilli Tart</t>
  </si>
  <si>
    <t>Coconut and Passion Fruit Roll</t>
  </si>
  <si>
    <t>Coffee and Milk Chocolate Genoise</t>
  </si>
  <si>
    <t>Hazelnut Bombe</t>
  </si>
  <si>
    <t>Peanut Yogurt</t>
  </si>
  <si>
    <t>Marinated Forest Lamb</t>
  </si>
  <si>
    <t>Broasted Egg &amp; Beans Pork</t>
  </si>
  <si>
    <t>Gentle-Fried Rhubarb Oysters</t>
  </si>
  <si>
    <t>Thermal-Cooked Souther-Style Prawns</t>
  </si>
  <si>
    <t>Pressure-Cooked Orange &amp; Mustard Spring Greens</t>
  </si>
  <si>
    <t>Poached Carrots &amp; Ginger Pasta</t>
  </si>
  <si>
    <t>Peach and Passion Fruit Molten Cake</t>
  </si>
  <si>
    <t>Mango and Lemon Split</t>
  </si>
  <si>
    <t>Ginger Gingerbread</t>
  </si>
  <si>
    <t>Rum Cookies</t>
  </si>
  <si>
    <t>Cooked Sweet &amp; Spicy Turkey</t>
  </si>
  <si>
    <t>Fire-Grilled Garlic &amp; Ginger Ostrich</t>
  </si>
  <si>
    <t>Oven-Baked Dark Ale Oysters</t>
  </si>
  <si>
    <t>Dried Carrot &amp; Corriander Frog</t>
  </si>
  <si>
    <t>Dried Fennel &amp; Garlic Spring Greens</t>
  </si>
  <si>
    <t>Seared Nuts &amp; Walnuts</t>
  </si>
  <si>
    <t>Pecan and Red Wine Bonbons</t>
  </si>
  <si>
    <t>Red Wine and Orange Roll</t>
  </si>
  <si>
    <t>Saffron Fruitcake</t>
  </si>
  <si>
    <t>Strawberry Sundae</t>
  </si>
  <si>
    <t>Blanched Peach &amp; Vinegar Quail</t>
  </si>
  <si>
    <t>Pan-Fried Wasabi Horse</t>
  </si>
  <si>
    <t>Infused Juniper Crab</t>
  </si>
  <si>
    <t>Poached Forest Oysters</t>
  </si>
  <si>
    <t>Barbecued Orange Forest Mushrooms</t>
  </si>
  <si>
    <t>Simmered Egg &amp; Coconut Winter Vegetables</t>
  </si>
  <si>
    <t>Guava and Date Pie</t>
  </si>
  <si>
    <t>Honey and Avocado Bombe</t>
  </si>
  <si>
    <t>Apple Fruitcake</t>
  </si>
  <si>
    <t>Pistachio Fudge</t>
  </si>
  <si>
    <t>asian dish made out of Gingerbread</t>
  </si>
  <si>
    <t>asian dish made out of Pheasant</t>
  </si>
  <si>
    <t>asian dish made out of Split</t>
  </si>
  <si>
    <t>asian dish made out of Cake</t>
  </si>
  <si>
    <t>asian dish made out of Roll</t>
  </si>
  <si>
    <t>asian dish made out of Vegetables</t>
  </si>
  <si>
    <t>asian dish made out of Bombe</t>
  </si>
  <si>
    <t>asian dish made out of Pork</t>
  </si>
  <si>
    <t>asian dish made out of Horse</t>
  </si>
  <si>
    <t>fusion dish made out of Turkey</t>
  </si>
  <si>
    <t>fusion dish made out of Sorbet</t>
  </si>
  <si>
    <t>fusion dish made out of Prawns</t>
  </si>
  <si>
    <t>fusion dish made out of Pasta</t>
  </si>
  <si>
    <t>fusion dish made out of Cake</t>
  </si>
  <si>
    <t>fusion dish made out of Ostrich</t>
  </si>
  <si>
    <t>fusion dish made out of Oysters</t>
  </si>
  <si>
    <t>fusion dish made out of Fudge</t>
  </si>
  <si>
    <t>western dish made out of Pastry</t>
  </si>
  <si>
    <t>western dish made out of Chicken</t>
  </si>
  <si>
    <t>western dish made out of Tart</t>
  </si>
  <si>
    <t>western dish made out of Roll</t>
  </si>
  <si>
    <t>western dish made out of Lamb</t>
  </si>
  <si>
    <t>western dish made out of Fruitcake</t>
  </si>
  <si>
    <t>asian dish made out of Mutton</t>
  </si>
  <si>
    <t>asian dish made out of Bread</t>
  </si>
  <si>
    <t>asian dish made out of Buns</t>
  </si>
  <si>
    <t>asian dish made out of Cockles</t>
  </si>
  <si>
    <t>asian dish made out of Crab</t>
  </si>
  <si>
    <t>vegetable dish made out of Buns</t>
  </si>
  <si>
    <t>vegetable dish made out of Bread</t>
  </si>
  <si>
    <t>vegetable dish made out of Yogurt</t>
  </si>
  <si>
    <t>vegetable dish made out of Mushrooms</t>
  </si>
  <si>
    <t>western dish made out of Crab</t>
  </si>
  <si>
    <t>western dish made out of Boar</t>
  </si>
  <si>
    <t>western dish made out of Oysters</t>
  </si>
  <si>
    <t>western dish made out of Frog</t>
  </si>
  <si>
    <t>western dish made out of Sundae</t>
  </si>
  <si>
    <t>western dish made out of Pie</t>
  </si>
  <si>
    <t>western dish made out of Herring</t>
  </si>
  <si>
    <t>western dish made out of Crocodile</t>
  </si>
  <si>
    <t>western dish made out of Fish</t>
  </si>
  <si>
    <t>western dish made out of Taco</t>
  </si>
  <si>
    <t>western dish made out of Venison</t>
  </si>
  <si>
    <t>beverage dish made out of Tatin</t>
  </si>
  <si>
    <t>beverage dish made out of Pud</t>
  </si>
  <si>
    <t>beverage dish made out of Scallops</t>
  </si>
  <si>
    <t>beverage dish made out of Prawns</t>
  </si>
  <si>
    <t>beverage dish made out of Gingerbread</t>
  </si>
  <si>
    <t>beverage dish made out of Turkey</t>
  </si>
  <si>
    <t>asian dish made out of Lasagne</t>
  </si>
  <si>
    <t>asian dish made out of Pasta</t>
  </si>
  <si>
    <t>asian dish made out of Toffee</t>
  </si>
  <si>
    <t>asian dish made out of Duck</t>
  </si>
  <si>
    <t>asian dish made out of Fruitcake</t>
  </si>
  <si>
    <t>fusion dish made out of Lobster</t>
  </si>
  <si>
    <t>fusion dish made out of Greens</t>
  </si>
  <si>
    <t>fusion dish made out of Quail</t>
  </si>
  <si>
    <t>western dish made out of Buns</t>
  </si>
  <si>
    <t>western dish made out of Rabbit</t>
  </si>
  <si>
    <t>western dish made out of Vegetables</t>
  </si>
  <si>
    <t>western dish made out of Shrimps</t>
  </si>
  <si>
    <t>western dish made out of Cake</t>
  </si>
  <si>
    <t>western dish made out of Tuna</t>
  </si>
  <si>
    <t>western dish made out of Cookies</t>
  </si>
  <si>
    <t>western dish made out of Walnuts</t>
  </si>
  <si>
    <t>western dish made out of Bombe</t>
  </si>
  <si>
    <t>beverage dish made out of Herring</t>
  </si>
  <si>
    <t>beverage dish made out of Linguine</t>
  </si>
  <si>
    <t>beverage dish made out of Wafer</t>
  </si>
  <si>
    <t>beverage dish made out of Mutton</t>
  </si>
  <si>
    <t>beverage dish made out of Oysters</t>
  </si>
  <si>
    <t>beverage dish made out of Bonbons</t>
  </si>
  <si>
    <t>beverage dish made out of Egg</t>
  </si>
  <si>
    <t>beverage dish made out of Rice</t>
  </si>
  <si>
    <t>beverage dish made out of Sundae</t>
  </si>
  <si>
    <t>beverage dish made out of Cheesecake</t>
  </si>
  <si>
    <t>beverage dish made out of Genoise</t>
  </si>
  <si>
    <t>beverage dish made out of Split</t>
  </si>
  <si>
    <t>beverage dish made out of Roll</t>
  </si>
  <si>
    <t>western dish made out of Pigeon</t>
  </si>
  <si>
    <t>western dish made out of Toast</t>
  </si>
  <si>
    <t>western dish made out of Yogurt</t>
  </si>
  <si>
    <t>western dish made out of Soup</t>
  </si>
  <si>
    <t>western dish made out of Greens</t>
  </si>
  <si>
    <t>`dish_id`</t>
  </si>
  <si>
    <t xml:space="preserve"> `quantity`</t>
  </si>
  <si>
    <t xml:space="preserve"> `vendor_id`</t>
  </si>
  <si>
    <t xml:space="preserve"> `supplier_id`</t>
  </si>
  <si>
    <t xml:space="preserve"> `unit`</t>
  </si>
  <si>
    <t>quantity</t>
  </si>
  <si>
    <t>unit</t>
  </si>
  <si>
    <t>SQL Generator</t>
  </si>
  <si>
    <t>Jerrys Iga</t>
  </si>
  <si>
    <t>Harrys Occult Shop Inc</t>
  </si>
  <si>
    <t>Two Brothers Wine &amp; Spirit</t>
  </si>
  <si>
    <t>Natures Herbs</t>
  </si>
  <si>
    <t>Dannys Meats &amp; Catering</t>
  </si>
  <si>
    <t>Hills Pharmacy</t>
  </si>
  <si>
    <t>Mark &amp; Orlandos</t>
  </si>
  <si>
    <t>Enchiladas Restaurant CO</t>
  </si>
  <si>
    <t>Charlie Chiangs Asian Bistro</t>
  </si>
  <si>
    <t>zipcode</t>
  </si>
  <si>
    <t>min_leadtime</t>
  </si>
  <si>
    <t>max_leadtime</t>
  </si>
  <si>
    <t>ongzhikan@gmail.com</t>
  </si>
  <si>
    <t>Shuqing316@gmail.com</t>
  </si>
  <si>
    <t>123abc</t>
  </si>
  <si>
    <t>jameslautsejian@gmail.com</t>
  </si>
  <si>
    <t>MOQ</t>
  </si>
  <si>
    <t>Availability</t>
  </si>
  <si>
    <t>available</t>
  </si>
  <si>
    <t>unavailable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</si>
</sst>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555555"/>
      <name val="Verdana"/>
      <family val="2"/>
    </font>
    <font>
      <sz val="10"/>
      <color rgb="FF777777"/>
      <name val="Arial"/>
      <family val="2"/>
    </font>
    <font>
      <sz val="8"/>
      <color rgb="FF444444"/>
      <name val="Verdana"/>
      <family val="2"/>
    </font>
    <font>
      <sz val="9"/>
      <color theme="1"/>
      <name val="Calibri"/>
      <family val="2"/>
      <scheme val="minor"/>
    </font>
    <font>
      <b/>
      <sz val="9"/>
      <color rgb="FF000000"/>
      <name val="Palatino Linotype"/>
      <family val="1"/>
    </font>
    <font>
      <sz val="10"/>
      <color rgb="FF333333"/>
      <name val="Verdana"/>
      <family val="2"/>
    </font>
    <font>
      <sz val="12"/>
      <color rgb="FF333333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left" vertical="center" wrapText="1" indent="1"/>
    </xf>
    <xf numFmtId="0" fontId="2" fillId="0" borderId="0" xfId="0" applyFont="1"/>
    <xf numFmtId="0" fontId="3" fillId="2" borderId="0" xfId="0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2" fillId="0" borderId="0" xfId="0" applyFont="1" applyAlignment="1">
      <alignment horizontal="left" vertical="center" wrapText="1" inden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2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7"/>
  <sheetViews>
    <sheetView topLeftCell="E1" workbookViewId="0">
      <selection activeCell="E8" sqref="E8"/>
    </sheetView>
  </sheetViews>
  <sheetFormatPr defaultRowHeight="15" x14ac:dyDescent="0.25"/>
  <cols>
    <col min="1" max="1" width="13.7109375" customWidth="1"/>
    <col min="2" max="2" width="49.5703125" customWidth="1"/>
    <col min="3" max="3" width="98.42578125" customWidth="1"/>
    <col min="4" max="4" width="20.42578125" customWidth="1"/>
    <col min="5" max="5" width="18.42578125" customWidth="1"/>
    <col min="6" max="6" width="39.140625" customWidth="1"/>
    <col min="7" max="7" width="27.5703125" customWidth="1"/>
    <col min="8" max="8" width="14.42578125" customWidth="1"/>
    <col min="9" max="9" width="21.140625" customWidth="1"/>
    <col min="10" max="12" width="11.28515625" customWidth="1"/>
    <col min="13" max="13" width="2.85546875" customWidth="1"/>
    <col min="14" max="14" width="36.5703125" customWidth="1"/>
    <col min="15" max="15" width="22" customWidth="1"/>
  </cols>
  <sheetData>
    <row r="1" spans="1:14" x14ac:dyDescent="0.25">
      <c r="D1" t="s">
        <v>0</v>
      </c>
    </row>
    <row r="2" spans="1:14" x14ac:dyDescent="0.25">
      <c r="D2" t="s">
        <v>1</v>
      </c>
    </row>
    <row r="3" spans="1:14" x14ac:dyDescent="0.25">
      <c r="D3" t="s">
        <v>2</v>
      </c>
    </row>
    <row r="4" spans="1:14" x14ac:dyDescent="0.25">
      <c r="D4" t="s">
        <v>3</v>
      </c>
    </row>
    <row r="6" spans="1:14" x14ac:dyDescent="0.25">
      <c r="A6" t="s">
        <v>59</v>
      </c>
      <c r="B6" t="s">
        <v>60</v>
      </c>
      <c r="C6" t="s">
        <v>53</v>
      </c>
      <c r="D6" t="s">
        <v>54</v>
      </c>
      <c r="E6" t="s">
        <v>55</v>
      </c>
      <c r="F6" t="s">
        <v>56</v>
      </c>
      <c r="G6" t="s">
        <v>57</v>
      </c>
      <c r="H6" t="s">
        <v>58</v>
      </c>
      <c r="I6" t="s">
        <v>181</v>
      </c>
      <c r="J6" t="s">
        <v>571</v>
      </c>
      <c r="K6" t="s">
        <v>572</v>
      </c>
      <c r="L6" t="s">
        <v>573</v>
      </c>
      <c r="M6" s="3"/>
      <c r="N6" t="s">
        <v>561</v>
      </c>
    </row>
    <row r="7" spans="1:14" ht="15.75" customHeight="1" x14ac:dyDescent="0.25">
      <c r="K7" s="3"/>
      <c r="L7" s="3"/>
      <c r="M7" s="3"/>
    </row>
    <row r="8" spans="1:14" ht="18.75" customHeight="1" x14ac:dyDescent="0.25">
      <c r="A8">
        <v>7</v>
      </c>
      <c r="B8" s="1" t="s">
        <v>52</v>
      </c>
      <c r="C8" t="str">
        <f>CONCATENATE(B8," is a very famous ",D8," supplier with the famous dish ",E8)</f>
        <v>Wholesome Wonder Bread is a very famous western supplier with the famous dish 123abc</v>
      </c>
      <c r="D8" t="s">
        <v>112</v>
      </c>
      <c r="E8" s="2" t="s">
        <v>576</v>
      </c>
      <c r="F8" t="s">
        <v>577</v>
      </c>
      <c r="G8">
        <v>65</v>
      </c>
      <c r="H8">
        <v>87221272</v>
      </c>
      <c r="I8" s="3" t="s">
        <v>121</v>
      </c>
      <c r="J8" s="9">
        <v>247964</v>
      </c>
      <c r="K8" s="3">
        <v>7</v>
      </c>
      <c r="L8" s="3">
        <v>14</v>
      </c>
      <c r="M8" s="3"/>
      <c r="N8" t="str">
        <f>SqlGenerator(A8:L8)</f>
        <v>(7,'Wholesome Wonder Bread','Wholesome Wonder Bread is a very famous western supplier with the famous dish 123abc','western','123abc','jameslautsejian@gmail.com',65,87221272,'1013 Geylang East Avenue 3 #01-136',247964,7,14),</v>
      </c>
    </row>
    <row r="9" spans="1:14" ht="18.75" customHeight="1" x14ac:dyDescent="0.25">
      <c r="A9">
        <v>8</v>
      </c>
      <c r="B9" s="1" t="s">
        <v>562</v>
      </c>
      <c r="C9" t="str">
        <f t="shared" ref="C9:C67" si="0">CONCATENATE(B9," is a very famous ",D9," supplier with the famous dish ",E9)</f>
        <v>Jerrys Iga is a very famous asian supplier with the famous dish Iltapata</v>
      </c>
      <c r="D9" t="s">
        <v>113</v>
      </c>
      <c r="E9" s="2" t="s">
        <v>63</v>
      </c>
      <c r="F9" t="s">
        <v>61</v>
      </c>
      <c r="G9">
        <v>65</v>
      </c>
      <c r="H9">
        <v>87221272</v>
      </c>
      <c r="I9" s="3" t="s">
        <v>122</v>
      </c>
      <c r="J9" s="9">
        <v>247964</v>
      </c>
      <c r="K9" s="4">
        <v>7</v>
      </c>
      <c r="L9" s="4">
        <v>14</v>
      </c>
      <c r="M9" s="3"/>
      <c r="N9" t="str">
        <f t="shared" ref="N9:N67" si="1">SqlGenerator(A9:L9)</f>
        <v>(8,'Jerrys Iga','Jerrys Iga is a very famous asian supplier with the famous dish Iltapata','asian','Iltapata','Parin1957@armyspy.com',65,87221272,'49 Jalan Pemimpin APS INDUSTRIAL BUILDING',247964,7,14),</v>
      </c>
    </row>
    <row r="10" spans="1:14" ht="18.75" customHeight="1" x14ac:dyDescent="0.25">
      <c r="A10">
        <v>9</v>
      </c>
      <c r="B10" s="1" t="s">
        <v>4</v>
      </c>
      <c r="C10" t="str">
        <f t="shared" si="0"/>
        <v>Picadilly Market Grill &amp; BKY is a very famous fusion supplier with the famous dish Pichicolo</v>
      </c>
      <c r="D10" t="s">
        <v>114</v>
      </c>
      <c r="E10" s="2" t="s">
        <v>64</v>
      </c>
      <c r="F10" t="s">
        <v>61</v>
      </c>
      <c r="G10">
        <v>65</v>
      </c>
      <c r="H10">
        <v>87221272</v>
      </c>
      <c r="I10" s="3" t="s">
        <v>123</v>
      </c>
      <c r="J10" s="9">
        <v>247964</v>
      </c>
      <c r="K10" s="4">
        <v>7</v>
      </c>
      <c r="L10" s="4">
        <v>14</v>
      </c>
      <c r="M10" s="3"/>
      <c r="N10" t="str">
        <f t="shared" si="1"/>
        <v>(9,'Picadilly Market Grill &amp; BKY','Picadilly Market Grill &amp; BKY is a very famous fusion supplier with the famous dish Pichicolo','fusion','Pichicolo','Parin1957@armyspy.com',65,87221272,'1 Lok Yang Way Jurong #19B',247964,7,14),</v>
      </c>
    </row>
    <row r="11" spans="1:14" ht="18.75" customHeight="1" x14ac:dyDescent="0.25">
      <c r="A11">
        <v>10</v>
      </c>
      <c r="B11" s="1" t="s">
        <v>5</v>
      </c>
      <c r="C11" t="str">
        <f t="shared" si="0"/>
        <v>American Discount Foods is a very famous fusion supplier with the famous dish Araucana</v>
      </c>
      <c r="D11" t="s">
        <v>114</v>
      </c>
      <c r="E11" s="2" t="s">
        <v>65</v>
      </c>
      <c r="F11" t="s">
        <v>61</v>
      </c>
      <c r="G11">
        <v>65</v>
      </c>
      <c r="H11">
        <v>87221272</v>
      </c>
      <c r="I11" s="3" t="s">
        <v>124</v>
      </c>
      <c r="J11" s="9">
        <v>247964</v>
      </c>
      <c r="K11" s="4">
        <v>7</v>
      </c>
      <c r="L11" s="4">
        <v>14</v>
      </c>
      <c r="M11" s="3"/>
      <c r="N11" t="str">
        <f t="shared" si="1"/>
        <v>(10,'American Discount Foods','American Discount Foods is a very famous fusion supplier with the famous dish Araucana','fusion','Araucana','Parin1957@armyspy.com',65,87221272,'10 Pioneer Sector 1 #01-00',247964,7,14),</v>
      </c>
    </row>
    <row r="12" spans="1:14" ht="18.75" customHeight="1" x14ac:dyDescent="0.25">
      <c r="A12">
        <v>11</v>
      </c>
      <c r="B12" s="1" t="s">
        <v>565</v>
      </c>
      <c r="C12" t="str">
        <f t="shared" si="0"/>
        <v>Natures Herbs is a very famous vegetable supplier with the famous dish Farellones</v>
      </c>
      <c r="D12" t="s">
        <v>115</v>
      </c>
      <c r="E12" s="2" t="s">
        <v>66</v>
      </c>
      <c r="F12" t="s">
        <v>61</v>
      </c>
      <c r="G12">
        <v>65</v>
      </c>
      <c r="H12">
        <v>87221272</v>
      </c>
      <c r="I12" s="3" t="s">
        <v>125</v>
      </c>
      <c r="J12" s="9">
        <v>247964</v>
      </c>
      <c r="K12" s="4">
        <v>7</v>
      </c>
      <c r="L12" s="4">
        <v>14</v>
      </c>
      <c r="M12" s="3"/>
      <c r="N12" t="str">
        <f t="shared" si="1"/>
        <v>(11,'Natures Herbs','Natures Herbs is a very famous vegetable supplier with the famous dish Farellones','vegetable','Farellones','Parin1957@armyspy.com',65,87221272,'Block 5022 Ang Mo Kio Industrial Park 2 #01-31',247964,7,14),</v>
      </c>
    </row>
    <row r="13" spans="1:14" ht="18.75" customHeight="1" x14ac:dyDescent="0.25">
      <c r="A13">
        <v>12</v>
      </c>
      <c r="B13" s="1" t="s">
        <v>6</v>
      </c>
      <c r="C13" t="str">
        <f t="shared" si="0"/>
        <v>Hawaiian Isles Water CO is a very famous beverage supplier with the famous dish Apiau</v>
      </c>
      <c r="D13" t="s">
        <v>116</v>
      </c>
      <c r="E13" s="2" t="s">
        <v>67</v>
      </c>
      <c r="F13" t="s">
        <v>61</v>
      </c>
      <c r="G13">
        <v>65</v>
      </c>
      <c r="H13">
        <v>87221272</v>
      </c>
      <c r="I13" s="3" t="s">
        <v>126</v>
      </c>
      <c r="J13" s="9">
        <v>247964</v>
      </c>
      <c r="K13" s="4">
        <v>7</v>
      </c>
      <c r="L13" s="4">
        <v>14</v>
      </c>
      <c r="M13" s="3"/>
      <c r="N13" t="str">
        <f t="shared" si="1"/>
        <v>(12,'Hawaiian Isles Water CO','Hawaiian Isles Water CO is a very famous beverage supplier with the famous dish Apiau','beverage','Apiau','Parin1957@armyspy.com',65,87221272,'70 Woodlands Industrial Park E',247964,7,14),</v>
      </c>
    </row>
    <row r="14" spans="1:14" ht="18.75" customHeight="1" x14ac:dyDescent="0.25">
      <c r="A14">
        <v>13</v>
      </c>
      <c r="B14" s="1" t="s">
        <v>7</v>
      </c>
      <c r="C14" t="str">
        <f t="shared" si="0"/>
        <v>American Estates Wines is a very famous beverage supplier with the famous dish Galvarino</v>
      </c>
      <c r="D14" t="s">
        <v>116</v>
      </c>
      <c r="E14" s="2" t="s">
        <v>68</v>
      </c>
      <c r="F14" t="s">
        <v>61</v>
      </c>
      <c r="G14">
        <v>65</v>
      </c>
      <c r="H14">
        <v>87221272</v>
      </c>
      <c r="I14" s="3" t="s">
        <v>127</v>
      </c>
      <c r="J14" s="9">
        <v>247964</v>
      </c>
      <c r="K14" s="4">
        <v>7</v>
      </c>
      <c r="L14" s="4">
        <v>14</v>
      </c>
      <c r="M14" s="3"/>
      <c r="N14" t="str">
        <f t="shared" si="1"/>
        <v>(13,'American Estates Wines','American Estates Wines is a very famous beverage supplier with the famous dish Galvarino','beverage','Galvarino','Parin1957@armyspy.com',65,87221272,'86 International Road',247964,7,14),</v>
      </c>
    </row>
    <row r="15" spans="1:14" ht="18.75" customHeight="1" x14ac:dyDescent="0.25">
      <c r="A15">
        <v>14</v>
      </c>
      <c r="B15" s="1" t="s">
        <v>8</v>
      </c>
      <c r="C15" t="str">
        <f t="shared" si="0"/>
        <v>Java Detour is a very famous beverage supplier with the famous dish Caracoles</v>
      </c>
      <c r="D15" t="s">
        <v>116</v>
      </c>
      <c r="E15" s="2" t="s">
        <v>69</v>
      </c>
      <c r="F15" t="s">
        <v>61</v>
      </c>
      <c r="G15">
        <v>65</v>
      </c>
      <c r="H15">
        <v>87221272</v>
      </c>
      <c r="I15" s="3" t="s">
        <v>128</v>
      </c>
      <c r="J15" s="9">
        <v>247964</v>
      </c>
      <c r="K15" s="4">
        <v>7</v>
      </c>
      <c r="L15" s="4">
        <v>14</v>
      </c>
      <c r="M15" s="3"/>
      <c r="N15" t="str">
        <f t="shared" si="1"/>
        <v>(14,'Java Detour','Java Detour is a very famous beverage supplier with the famous dish Caracoles','beverage','Caracoles','Parin1957@armyspy.com',65,87221272,'Block 192 Pandan Loop #01-26 PANTECH INDUSTRIAL COMPLEX',247964,7,14),</v>
      </c>
    </row>
    <row r="16" spans="1:14" ht="18.75" customHeight="1" x14ac:dyDescent="0.25">
      <c r="A16">
        <v>15</v>
      </c>
      <c r="B16" s="1" t="s">
        <v>118</v>
      </c>
      <c r="C16" t="str">
        <f t="shared" si="0"/>
        <v>Hoyt Fusion Group is a very famous asian supplier with the famous dish Huilque</v>
      </c>
      <c r="D16" t="s">
        <v>113</v>
      </c>
      <c r="E16" s="2" t="s">
        <v>70</v>
      </c>
      <c r="F16" t="s">
        <v>61</v>
      </c>
      <c r="G16">
        <v>65</v>
      </c>
      <c r="H16">
        <v>87221272</v>
      </c>
      <c r="I16" s="3" t="s">
        <v>129</v>
      </c>
      <c r="J16" s="9">
        <v>247964</v>
      </c>
      <c r="K16" s="4">
        <v>7</v>
      </c>
      <c r="L16" s="4">
        <v>14</v>
      </c>
      <c r="M16" s="3"/>
      <c r="N16" t="str">
        <f t="shared" si="1"/>
        <v>(15,'Hoyt Fusion Group','Hoyt Fusion Group is a very famous asian supplier with the famous dish Huilque','asian','Huilque','Parin1957@armyspy.com',65,87221272,'31 Penjuru Lane',247964,7,14),</v>
      </c>
    </row>
    <row r="17" spans="1:14" ht="15.75" x14ac:dyDescent="0.25">
      <c r="A17">
        <v>16</v>
      </c>
      <c r="B17" s="1" t="s">
        <v>9</v>
      </c>
      <c r="C17" t="str">
        <f t="shared" si="0"/>
        <v>Nembo Imports is a very famous beverage supplier with the famous dish Matanzas</v>
      </c>
      <c r="D17" t="s">
        <v>116</v>
      </c>
      <c r="E17" s="2" t="s">
        <v>71</v>
      </c>
      <c r="F17" t="s">
        <v>61</v>
      </c>
      <c r="G17">
        <v>65</v>
      </c>
      <c r="H17">
        <v>87221272</v>
      </c>
      <c r="I17" s="3" t="s">
        <v>130</v>
      </c>
      <c r="J17" s="9">
        <v>247964</v>
      </c>
      <c r="K17" s="4">
        <v>7</v>
      </c>
      <c r="L17" s="4">
        <v>14</v>
      </c>
      <c r="M17" s="3"/>
      <c r="N17" t="str">
        <f t="shared" si="1"/>
        <v>(16,'Nembo Imports','Nembo Imports is a very famous beverage supplier with the famous dish Matanzas','beverage','Matanzas','Parin1957@armyspy.com',65,87221272,'8 Woodlands Loop',247964,7,14),</v>
      </c>
    </row>
    <row r="18" spans="1:14" ht="15.75" x14ac:dyDescent="0.25">
      <c r="A18">
        <v>17</v>
      </c>
      <c r="B18" s="1" t="s">
        <v>10</v>
      </c>
      <c r="C18" t="str">
        <f t="shared" si="0"/>
        <v>Buehlers Foods Inc is a very famous fusion supplier with the famous dish Collaguasi</v>
      </c>
      <c r="D18" t="s">
        <v>114</v>
      </c>
      <c r="E18" s="2" t="s">
        <v>72</v>
      </c>
      <c r="F18" t="s">
        <v>61</v>
      </c>
      <c r="G18">
        <v>65</v>
      </c>
      <c r="H18">
        <v>87221272</v>
      </c>
      <c r="I18" s="3" t="s">
        <v>131</v>
      </c>
      <c r="J18" s="9">
        <v>247964</v>
      </c>
      <c r="K18" s="4">
        <v>7</v>
      </c>
      <c r="L18" s="4">
        <v>14</v>
      </c>
      <c r="M18" s="3"/>
      <c r="N18" t="str">
        <f t="shared" si="1"/>
        <v>(17,'Buehlers Foods Inc','Buehlers Foods Inc is a very famous fusion supplier with the famous dish Collaguasi','fusion','Collaguasi','Parin1957@armyspy.com',65,87221272,'11 Joo Koon Circle',247964,7,14),</v>
      </c>
    </row>
    <row r="19" spans="1:14" ht="21" x14ac:dyDescent="0.25">
      <c r="A19">
        <v>18</v>
      </c>
      <c r="B19" s="1" t="s">
        <v>11</v>
      </c>
      <c r="C19" t="str">
        <f t="shared" si="0"/>
        <v>Ester C CO is a very famous asian supplier with the famous dish Chilacaya</v>
      </c>
      <c r="D19" t="s">
        <v>113</v>
      </c>
      <c r="E19" s="2" t="s">
        <v>73</v>
      </c>
      <c r="F19" t="s">
        <v>61</v>
      </c>
      <c r="G19">
        <v>65</v>
      </c>
      <c r="H19">
        <v>87221272</v>
      </c>
      <c r="I19" s="3" t="s">
        <v>132</v>
      </c>
      <c r="J19" s="9">
        <v>247964</v>
      </c>
      <c r="K19" s="4">
        <v>7</v>
      </c>
      <c r="L19" s="4">
        <v>14</v>
      </c>
      <c r="M19" s="3"/>
      <c r="N19" t="str">
        <f t="shared" si="1"/>
        <v>(18,'Ester C CO','Ester C CO is a very famous asian supplier with the famous dish Chilacaya','asian','Chilacaya','Parin1957@armyspy.com',65,87221272,'1002 Eunos Avenue 8 #01-42',247964,7,14),</v>
      </c>
    </row>
    <row r="20" spans="1:14" ht="15.75" x14ac:dyDescent="0.25">
      <c r="A20">
        <v>19</v>
      </c>
      <c r="B20" s="1" t="s">
        <v>12</v>
      </c>
      <c r="C20" t="str">
        <f t="shared" si="0"/>
        <v>Natural Pharmacy is a very famous fusion supplier with the famous dish Loncopahue</v>
      </c>
      <c r="D20" t="s">
        <v>114</v>
      </c>
      <c r="E20" s="2" t="s">
        <v>74</v>
      </c>
      <c r="F20" t="s">
        <v>61</v>
      </c>
      <c r="G20">
        <v>65</v>
      </c>
      <c r="H20">
        <v>87221272</v>
      </c>
      <c r="I20" s="3" t="s">
        <v>133</v>
      </c>
      <c r="J20" s="9">
        <v>247964</v>
      </c>
      <c r="K20" s="4">
        <v>7</v>
      </c>
      <c r="L20" s="4">
        <v>14</v>
      </c>
      <c r="M20" s="3"/>
      <c r="N20" t="str">
        <f t="shared" si="1"/>
        <v>(19,'Natural Pharmacy','Natural Pharmacy is a very famous fusion supplier with the famous dish Loncopahue','fusion','Loncopahue','Parin1957@armyspy.com',65,87221272,'126 Gul Circle',247964,7,14),</v>
      </c>
    </row>
    <row r="21" spans="1:14" ht="21" x14ac:dyDescent="0.25">
      <c r="A21">
        <v>20</v>
      </c>
      <c r="B21" s="1" t="s">
        <v>13</v>
      </c>
      <c r="C21" t="str">
        <f t="shared" si="0"/>
        <v>NW Core Collection is a very famous fusion supplier with the famous dish Mocopulle</v>
      </c>
      <c r="D21" t="s">
        <v>114</v>
      </c>
      <c r="E21" s="2" t="s">
        <v>75</v>
      </c>
      <c r="F21" t="s">
        <v>61</v>
      </c>
      <c r="G21">
        <v>65</v>
      </c>
      <c r="H21">
        <v>87221272</v>
      </c>
      <c r="I21" s="3" t="s">
        <v>134</v>
      </c>
      <c r="J21" s="9">
        <v>247964</v>
      </c>
      <c r="K21" s="4">
        <v>7</v>
      </c>
      <c r="L21" s="4">
        <v>14</v>
      </c>
      <c r="M21" s="3"/>
      <c r="N21" t="str">
        <f t="shared" si="1"/>
        <v>(20,'NW Core Collection','NW Core Collection is a very famous fusion supplier with the famous dish Mocopulle','fusion','Mocopulle','Parin1957@armyspy.com',65,87221272,'642 Rowell Road #02-115',247964,7,14),</v>
      </c>
    </row>
    <row r="22" spans="1:14" ht="31.5" x14ac:dyDescent="0.25">
      <c r="A22">
        <v>21</v>
      </c>
      <c r="B22" s="1" t="s">
        <v>14</v>
      </c>
      <c r="C22" t="str">
        <f t="shared" si="0"/>
        <v>C Plus is a very famous fusion supplier with the famous dish Conanoxa</v>
      </c>
      <c r="D22" t="s">
        <v>114</v>
      </c>
      <c r="E22" s="2" t="s">
        <v>76</v>
      </c>
      <c r="F22" t="s">
        <v>61</v>
      </c>
      <c r="G22">
        <v>65</v>
      </c>
      <c r="H22">
        <v>87221272</v>
      </c>
      <c r="I22" s="3" t="s">
        <v>135</v>
      </c>
      <c r="J22" s="9">
        <v>247964</v>
      </c>
      <c r="K22" s="4">
        <v>7</v>
      </c>
      <c r="L22" s="4">
        <v>14</v>
      </c>
      <c r="M22" s="3"/>
      <c r="N22" t="str">
        <f t="shared" si="1"/>
        <v>(21,'C Plus','C Plus is a very famous fusion supplier with the famous dish Conanoxa','fusion','Conanoxa','Parin1957@armyspy.com',65,87221272,'545 Orchard Road #11-13 Far East Shopping Centre',247964,7,14),</v>
      </c>
    </row>
    <row r="23" spans="1:14" ht="15.75" x14ac:dyDescent="0.25">
      <c r="A23">
        <v>22</v>
      </c>
      <c r="B23" s="1" t="s">
        <v>15</v>
      </c>
      <c r="C23" t="str">
        <f t="shared" si="0"/>
        <v>Saigon Deli is a very famous asian supplier with the famous dish Quinquegua</v>
      </c>
      <c r="D23" t="s">
        <v>113</v>
      </c>
      <c r="E23" s="2" t="s">
        <v>77</v>
      </c>
      <c r="F23" t="s">
        <v>61</v>
      </c>
      <c r="G23">
        <v>65</v>
      </c>
      <c r="H23">
        <v>87221272</v>
      </c>
      <c r="I23" s="3" t="s">
        <v>136</v>
      </c>
      <c r="J23" s="9">
        <v>247964</v>
      </c>
      <c r="K23" s="4">
        <v>7</v>
      </c>
      <c r="L23" s="4">
        <v>14</v>
      </c>
      <c r="M23" s="3"/>
      <c r="N23" t="str">
        <f t="shared" si="1"/>
        <v>(22,'Saigon Deli','Saigon Deli is a very famous asian supplier with the famous dish Quinquegua','asian','Quinquegua','Parin1957@armyspy.com',65,87221272,'90 Horne Road',247964,7,14),</v>
      </c>
    </row>
    <row r="24" spans="1:14" ht="15.75" x14ac:dyDescent="0.25">
      <c r="A24">
        <v>23</v>
      </c>
      <c r="B24" s="1" t="s">
        <v>16</v>
      </c>
      <c r="C24" t="str">
        <f t="shared" si="0"/>
        <v>College Hill Coffee CO is a very famous beverage supplier with the famous dish Ñancul</v>
      </c>
      <c r="D24" t="s">
        <v>116</v>
      </c>
      <c r="E24" s="2" t="s">
        <v>78</v>
      </c>
      <c r="F24" t="s">
        <v>61</v>
      </c>
      <c r="G24">
        <v>65</v>
      </c>
      <c r="H24">
        <v>87221272</v>
      </c>
      <c r="I24" s="3" t="s">
        <v>137</v>
      </c>
      <c r="J24" s="9">
        <v>247964</v>
      </c>
      <c r="K24" s="4">
        <v>7</v>
      </c>
      <c r="L24" s="4">
        <v>14</v>
      </c>
      <c r="M24" s="3"/>
      <c r="N24" t="str">
        <f t="shared" si="1"/>
        <v>(23,'College Hill Coffee CO','College Hill Coffee CO is a very famous beverage supplier with the famous dish Ñancul','beverage','Ñancul','Parin1957@armyspy.com',65,87221272,'25 Tuas Avenue 2',247964,7,14),</v>
      </c>
    </row>
    <row r="25" spans="1:14" ht="15.75" x14ac:dyDescent="0.25">
      <c r="A25">
        <v>24</v>
      </c>
      <c r="B25" s="1" t="s">
        <v>17</v>
      </c>
      <c r="C25" t="str">
        <f t="shared" si="0"/>
        <v>Main St Market is a very famous western supplier with the famous dish Huequecura</v>
      </c>
      <c r="D25" t="s">
        <v>112</v>
      </c>
      <c r="E25" s="2" t="s">
        <v>79</v>
      </c>
      <c r="F25" t="s">
        <v>61</v>
      </c>
      <c r="G25">
        <v>65</v>
      </c>
      <c r="H25">
        <v>87221272</v>
      </c>
      <c r="I25" s="3" t="s">
        <v>138</v>
      </c>
      <c r="J25" s="9">
        <v>247964</v>
      </c>
      <c r="K25" s="4">
        <v>7</v>
      </c>
      <c r="L25" s="4">
        <v>14</v>
      </c>
      <c r="M25" s="3"/>
      <c r="N25" t="str">
        <f t="shared" si="1"/>
        <v>(24,'Main St Market','Main St Market is a very famous western supplier with the famous dish Huequecura','western','Huequecura','Parin1957@armyspy.com',65,87221272,'206 Tagore Lane',247964,7,14),</v>
      </c>
    </row>
    <row r="26" spans="1:14" ht="15.75" x14ac:dyDescent="0.25">
      <c r="A26">
        <v>25</v>
      </c>
      <c r="B26" s="1" t="s">
        <v>563</v>
      </c>
      <c r="C26" t="str">
        <f t="shared" si="0"/>
        <v>Harrys Occult Shop Inc is a very famous western supplier with the famous dish Llimpo</v>
      </c>
      <c r="D26" t="s">
        <v>112</v>
      </c>
      <c r="E26" s="2" t="s">
        <v>80</v>
      </c>
      <c r="F26" t="s">
        <v>61</v>
      </c>
      <c r="G26">
        <v>65</v>
      </c>
      <c r="H26">
        <v>87221272</v>
      </c>
      <c r="I26" s="3" t="s">
        <v>139</v>
      </c>
      <c r="J26" s="9">
        <v>247964</v>
      </c>
      <c r="K26" s="4">
        <v>7</v>
      </c>
      <c r="L26" s="4">
        <v>14</v>
      </c>
      <c r="M26" s="3"/>
      <c r="N26" t="str">
        <f t="shared" si="1"/>
        <v>(25,'Harrys Occult Shop Inc','Harrys Occult Shop Inc is a very famous western supplier with the famous dish Llimpo','western','Llimpo','Parin1957@armyspy.com',65,87221272,'50 Hillview Terrace',247964,7,14),</v>
      </c>
    </row>
    <row r="27" spans="1:14" ht="21" x14ac:dyDescent="0.25">
      <c r="A27">
        <v>26</v>
      </c>
      <c r="B27" s="1" t="s">
        <v>18</v>
      </c>
      <c r="C27" t="str">
        <f t="shared" si="0"/>
        <v>Lambeth Groves Llc is a very famous asian supplier with the famous dish Ipres</v>
      </c>
      <c r="D27" t="s">
        <v>113</v>
      </c>
      <c r="E27" s="2" t="s">
        <v>81</v>
      </c>
      <c r="F27" t="s">
        <v>61</v>
      </c>
      <c r="G27">
        <v>65</v>
      </c>
      <c r="H27">
        <v>87221272</v>
      </c>
      <c r="I27" s="3" t="s">
        <v>140</v>
      </c>
      <c r="J27" s="9">
        <v>247964</v>
      </c>
      <c r="K27" s="4">
        <v>7</v>
      </c>
      <c r="L27" s="4">
        <v>14</v>
      </c>
      <c r="M27" s="3"/>
      <c r="N27" t="str">
        <f t="shared" si="1"/>
        <v>(26,'Lambeth Groves Llc','Lambeth Groves Llc is a very famous asian supplier with the famous dish Ipres','asian','Ipres','Parin1957@armyspy.com',65,87221272,'30 Loyang Way, Loyang Industrial Estate #03-04',247964,7,14),</v>
      </c>
    </row>
    <row r="28" spans="1:14" ht="15.75" x14ac:dyDescent="0.25">
      <c r="A28">
        <v>27</v>
      </c>
      <c r="B28" s="1" t="s">
        <v>566</v>
      </c>
      <c r="C28" t="str">
        <f t="shared" si="0"/>
        <v>Dannys Meats &amp; Catering is a very famous western supplier with the famous dish Tacata</v>
      </c>
      <c r="D28" t="s">
        <v>112</v>
      </c>
      <c r="E28" s="2" t="s">
        <v>82</v>
      </c>
      <c r="F28" t="s">
        <v>61</v>
      </c>
      <c r="G28">
        <v>65</v>
      </c>
      <c r="H28">
        <v>87221272</v>
      </c>
      <c r="I28" s="3" t="s">
        <v>141</v>
      </c>
      <c r="J28" s="9">
        <v>247964</v>
      </c>
      <c r="K28" s="4">
        <v>7</v>
      </c>
      <c r="L28" s="4">
        <v>14</v>
      </c>
      <c r="M28" s="3"/>
      <c r="N28" t="str">
        <f t="shared" si="1"/>
        <v>(27,'Dannys Meats &amp; Catering','Dannys Meats &amp; Catering is a very famous western supplier with the famous dish Tacata','western','Tacata','Parin1957@armyspy.com',65,87221272,'35 Pioneer Sector 2',247964,7,14),</v>
      </c>
    </row>
    <row r="29" spans="1:14" ht="31.5" x14ac:dyDescent="0.25">
      <c r="A29">
        <v>28</v>
      </c>
      <c r="B29" s="1" t="s">
        <v>19</v>
      </c>
      <c r="C29" t="str">
        <f t="shared" si="0"/>
        <v>Turkey Hill Minit Market is a very famous western supplier with the famous dish Tijeral</v>
      </c>
      <c r="D29" t="s">
        <v>112</v>
      </c>
      <c r="E29" s="2" t="s">
        <v>83</v>
      </c>
      <c r="F29" t="s">
        <v>61</v>
      </c>
      <c r="G29">
        <v>65</v>
      </c>
      <c r="H29">
        <v>87221272</v>
      </c>
      <c r="I29" s="3" t="s">
        <v>142</v>
      </c>
      <c r="J29" s="9">
        <v>247964</v>
      </c>
      <c r="K29" s="4">
        <v>7</v>
      </c>
      <c r="L29" s="4">
        <v>14</v>
      </c>
      <c r="M29" s="3"/>
      <c r="N29" t="str">
        <f t="shared" si="1"/>
        <v>(28,'Turkey Hill Minit Market','Turkey Hill Minit Market is a very famous western supplier with the famous dish Tijeral','western','Tijeral','Parin1957@armyspy.com',65,87221272,'No. 6 Sixth Lok Yang Road Jurong Industrial Estate',247964,7,14),</v>
      </c>
    </row>
    <row r="30" spans="1:14" ht="15.75" x14ac:dyDescent="0.25">
      <c r="A30">
        <v>29</v>
      </c>
      <c r="B30" s="1" t="s">
        <v>20</v>
      </c>
      <c r="C30" t="str">
        <f t="shared" si="0"/>
        <v>Hy Vee Floral is a very famous fusion supplier with the famous dish Chapire</v>
      </c>
      <c r="D30" t="s">
        <v>114</v>
      </c>
      <c r="E30" s="2" t="s">
        <v>84</v>
      </c>
      <c r="F30" t="s">
        <v>61</v>
      </c>
      <c r="G30">
        <v>65</v>
      </c>
      <c r="H30">
        <v>87221272</v>
      </c>
      <c r="I30" s="3" t="s">
        <v>143</v>
      </c>
      <c r="J30" s="9">
        <v>247964</v>
      </c>
      <c r="K30" s="4">
        <v>7</v>
      </c>
      <c r="L30" s="4">
        <v>14</v>
      </c>
      <c r="M30" s="3"/>
      <c r="N30" t="str">
        <f t="shared" si="1"/>
        <v>(29,'Hy Vee Floral','Hy Vee Floral is a very famous fusion supplier with the famous dish Chapire','fusion','Chapire','Parin1957@armyspy.com',65,87221272,'9 Tuas Avenue 18',247964,7,14),</v>
      </c>
    </row>
    <row r="31" spans="1:14" ht="21" x14ac:dyDescent="0.25">
      <c r="A31">
        <v>30</v>
      </c>
      <c r="B31" s="1" t="s">
        <v>21</v>
      </c>
      <c r="C31" t="str">
        <f t="shared" si="0"/>
        <v>B &amp; G Gourmet Of Hillsdale is a very famous fusion supplier with the famous dish Marchihue</v>
      </c>
      <c r="D31" t="s">
        <v>114</v>
      </c>
      <c r="E31" s="2" t="s">
        <v>85</v>
      </c>
      <c r="F31" t="s">
        <v>61</v>
      </c>
      <c r="G31">
        <v>65</v>
      </c>
      <c r="H31">
        <v>87221272</v>
      </c>
      <c r="I31" s="3" t="s">
        <v>144</v>
      </c>
      <c r="J31" s="9">
        <v>247964</v>
      </c>
      <c r="K31" s="4">
        <v>7</v>
      </c>
      <c r="L31" s="4">
        <v>14</v>
      </c>
      <c r="M31" s="3"/>
      <c r="N31" t="str">
        <f t="shared" si="1"/>
        <v>(30,'B &amp; G Gourmet Of Hillsdale','B &amp; G Gourmet Of Hillsdale is a very famous fusion supplier with the famous dish Marchihue','fusion','Marchihue','Parin1957@armyspy.com',65,87221272,'104 Jurong East Street 13 #01-102',247964,7,14),</v>
      </c>
    </row>
    <row r="32" spans="1:14" ht="15.75" x14ac:dyDescent="0.25">
      <c r="A32">
        <v>31</v>
      </c>
      <c r="B32" s="1" t="s">
        <v>564</v>
      </c>
      <c r="C32" t="str">
        <f t="shared" si="0"/>
        <v>Two Brothers Wine &amp; Spirit is a very famous beverage supplier with the famous dish Alca</v>
      </c>
      <c r="D32" t="s">
        <v>116</v>
      </c>
      <c r="E32" s="2" t="s">
        <v>86</v>
      </c>
      <c r="F32" t="s">
        <v>61</v>
      </c>
      <c r="G32">
        <v>65</v>
      </c>
      <c r="H32">
        <v>87221272</v>
      </c>
      <c r="I32" s="3" t="s">
        <v>145</v>
      </c>
      <c r="J32" s="9">
        <v>247964</v>
      </c>
      <c r="K32" s="4">
        <v>7</v>
      </c>
      <c r="L32" s="4">
        <v>14</v>
      </c>
      <c r="M32" s="3"/>
      <c r="N32" t="str">
        <f t="shared" si="1"/>
        <v>(31,'Two Brothers Wine &amp; Spirit','Two Brothers Wine &amp; Spirit is a very famous beverage supplier with the famous dish Alca','beverage','Alca','Parin1957@armyspy.com',65,87221272,'39 Defu Lane 7',247964,7,14),</v>
      </c>
    </row>
    <row r="33" spans="1:14" ht="21" x14ac:dyDescent="0.25">
      <c r="A33">
        <v>32</v>
      </c>
      <c r="B33" s="1" t="s">
        <v>119</v>
      </c>
      <c r="C33" t="str">
        <f t="shared" si="0"/>
        <v>Kaufmann Wine is a very famous beverage supplier with the famous dish Rarinco</v>
      </c>
      <c r="D33" t="s">
        <v>116</v>
      </c>
      <c r="E33" s="2" t="s">
        <v>87</v>
      </c>
      <c r="F33" t="s">
        <v>61</v>
      </c>
      <c r="G33">
        <v>65</v>
      </c>
      <c r="H33">
        <v>87221272</v>
      </c>
      <c r="I33" s="3" t="s">
        <v>146</v>
      </c>
      <c r="J33" s="9">
        <v>247964</v>
      </c>
      <c r="K33" s="4">
        <v>7</v>
      </c>
      <c r="L33" s="4">
        <v>14</v>
      </c>
      <c r="M33" s="3"/>
      <c r="N33" t="str">
        <f t="shared" si="1"/>
        <v>(32,'Kaufmann Wine','Kaufmann Wine is a very famous beverage supplier with the famous dish Rarinco','beverage','Rarinco','Parin1957@armyspy.com',65,87221272,'11 Tanjong Rhu Road #18-01 The Waterside',247964,7,14),</v>
      </c>
    </row>
    <row r="34" spans="1:14" ht="31.5" x14ac:dyDescent="0.25">
      <c r="A34">
        <v>33</v>
      </c>
      <c r="B34" s="1" t="s">
        <v>117</v>
      </c>
      <c r="C34" t="str">
        <f t="shared" si="0"/>
        <v>Food Help is a very famous fusion supplier with the famous dish Churigualla</v>
      </c>
      <c r="D34" t="s">
        <v>114</v>
      </c>
      <c r="E34" s="2" t="s">
        <v>88</v>
      </c>
      <c r="F34" t="s">
        <v>61</v>
      </c>
      <c r="G34">
        <v>65</v>
      </c>
      <c r="H34">
        <v>87221272</v>
      </c>
      <c r="I34" s="3" t="s">
        <v>147</v>
      </c>
      <c r="J34" s="9">
        <v>247964</v>
      </c>
      <c r="K34" s="4">
        <v>7</v>
      </c>
      <c r="L34" s="4">
        <v>14</v>
      </c>
      <c r="M34" s="3"/>
      <c r="N34" t="str">
        <f t="shared" si="1"/>
        <v>(33,'Food Help','Food Help is a very famous fusion supplier with the famous dish Churigualla','fusion','Churigualla','Parin1957@armyspy.com',65,87221272,'No. 29 Woodlands Industrial Park E1 #04-17 Northtech',247964,7,14),</v>
      </c>
    </row>
    <row r="35" spans="1:14" ht="31.5" x14ac:dyDescent="0.25">
      <c r="A35">
        <v>34</v>
      </c>
      <c r="B35" s="1" t="s">
        <v>22</v>
      </c>
      <c r="C35" t="str">
        <f t="shared" si="0"/>
        <v>Smoky Bay Natural Foods Inc is a very famous western supplier with the famous dish Pachica</v>
      </c>
      <c r="D35" t="s">
        <v>112</v>
      </c>
      <c r="E35" s="2" t="s">
        <v>89</v>
      </c>
      <c r="F35" t="s">
        <v>61</v>
      </c>
      <c r="G35">
        <v>65</v>
      </c>
      <c r="H35">
        <v>87221272</v>
      </c>
      <c r="I35" s="3" t="s">
        <v>148</v>
      </c>
      <c r="J35" s="9">
        <v>247964</v>
      </c>
      <c r="K35" s="4">
        <v>7</v>
      </c>
      <c r="L35" s="4">
        <v>14</v>
      </c>
      <c r="M35" s="3"/>
      <c r="N35" t="str">
        <f t="shared" si="1"/>
        <v>(34,'Smoky Bay Natural Foods Inc','Smoky Bay Natural Foods Inc is a very famous western supplier with the famous dish Pachica','western','Pachica','Parin1957@armyspy.com',65,87221272,'491B River Valley Road #04-01 Valley Point Office Tower',247964,7,14),</v>
      </c>
    </row>
    <row r="36" spans="1:14" ht="21" x14ac:dyDescent="0.25">
      <c r="A36">
        <v>35</v>
      </c>
      <c r="B36" s="1" t="s">
        <v>23</v>
      </c>
      <c r="C36" t="str">
        <f t="shared" si="0"/>
        <v>Baseline Ii Inc is a very famous western supplier with the famous dish Maiquillahue</v>
      </c>
      <c r="D36" t="s">
        <v>112</v>
      </c>
      <c r="E36" s="2" t="s">
        <v>90</v>
      </c>
      <c r="F36" t="s">
        <v>61</v>
      </c>
      <c r="G36">
        <v>65</v>
      </c>
      <c r="H36">
        <v>87221272</v>
      </c>
      <c r="I36" s="3" t="s">
        <v>149</v>
      </c>
      <c r="J36" s="9">
        <v>247964</v>
      </c>
      <c r="K36" s="4">
        <v>7</v>
      </c>
      <c r="L36" s="4">
        <v>14</v>
      </c>
      <c r="M36" s="3"/>
      <c r="N36" t="str">
        <f t="shared" si="1"/>
        <v>(35,'Baseline Ii Inc','Baseline Ii Inc is a very famous western supplier with the famous dish Maiquillahue','western','Maiquillahue','Parin1957@armyspy.com',65,87221272,'55 Hume Avenue #06-09',247964,7,14),</v>
      </c>
    </row>
    <row r="37" spans="1:14" ht="21" x14ac:dyDescent="0.25">
      <c r="A37">
        <v>36</v>
      </c>
      <c r="B37" s="1" t="s">
        <v>120</v>
      </c>
      <c r="C37" t="str">
        <f t="shared" si="0"/>
        <v>Tommy Boy Asian is a very famous asian supplier with the famous dish Gualliguaica</v>
      </c>
      <c r="D37" t="s">
        <v>113</v>
      </c>
      <c r="E37" s="2" t="s">
        <v>91</v>
      </c>
      <c r="F37" t="s">
        <v>61</v>
      </c>
      <c r="G37">
        <v>65</v>
      </c>
      <c r="H37">
        <v>87221272</v>
      </c>
      <c r="I37" s="3" t="s">
        <v>150</v>
      </c>
      <c r="J37" s="9">
        <v>247964</v>
      </c>
      <c r="K37" s="4">
        <v>7</v>
      </c>
      <c r="L37" s="4">
        <v>14</v>
      </c>
      <c r="M37" s="3"/>
      <c r="N37" t="str">
        <f t="shared" si="1"/>
        <v>(36,'Tommy Boy Asian','Tommy Boy Asian is a very famous asian supplier with the famous dish Gualliguaica','asian','Gualliguaica','Parin1957@armyspy.com',65,87221272,'Blk 2021 Bukit Batok Street 23 #01-226',247964,7,14),</v>
      </c>
    </row>
    <row r="38" spans="1:14" ht="21" x14ac:dyDescent="0.25">
      <c r="A38">
        <v>37</v>
      </c>
      <c r="B38" s="1" t="s">
        <v>24</v>
      </c>
      <c r="C38" t="str">
        <f t="shared" si="0"/>
        <v>Brownies is a very famous western supplier with the famous dish Cerrillos</v>
      </c>
      <c r="D38" t="s">
        <v>112</v>
      </c>
      <c r="E38" s="2" t="s">
        <v>92</v>
      </c>
      <c r="F38" t="s">
        <v>61</v>
      </c>
      <c r="G38">
        <v>65</v>
      </c>
      <c r="H38">
        <v>87221272</v>
      </c>
      <c r="I38" s="3" t="s">
        <v>151</v>
      </c>
      <c r="J38" s="9">
        <v>247964</v>
      </c>
      <c r="K38" s="4">
        <v>7</v>
      </c>
      <c r="L38" s="4">
        <v>14</v>
      </c>
      <c r="M38" s="3"/>
      <c r="N38" t="str">
        <f t="shared" si="1"/>
        <v>(37,'Brownies','Brownies is a very famous western supplier with the famous dish Cerrillos','western','Cerrillos','Parin1957@armyspy.com',65,87221272,'Block 3005 Ubi Avenue 3 #01-64',247964,7,14),</v>
      </c>
    </row>
    <row r="39" spans="1:14" ht="31.5" x14ac:dyDescent="0.25">
      <c r="A39">
        <v>38</v>
      </c>
      <c r="B39" s="1" t="s">
        <v>25</v>
      </c>
      <c r="C39" t="str">
        <f t="shared" si="0"/>
        <v>Kountry Korner Grocery Store is a very famous vegetable supplier with the famous dish Buenaventura</v>
      </c>
      <c r="D39" t="s">
        <v>115</v>
      </c>
      <c r="E39" s="2" t="s">
        <v>93</v>
      </c>
      <c r="F39" t="s">
        <v>61</v>
      </c>
      <c r="G39">
        <v>65</v>
      </c>
      <c r="H39">
        <v>87221272</v>
      </c>
      <c r="I39" s="3" t="s">
        <v>152</v>
      </c>
      <c r="J39" s="9">
        <v>247964</v>
      </c>
      <c r="K39" s="4">
        <v>7</v>
      </c>
      <c r="L39" s="4">
        <v>14</v>
      </c>
      <c r="M39" s="3"/>
      <c r="N39" t="str">
        <f t="shared" si="1"/>
        <v>(38,'Kountry Korner Grocery Store','Kountry Korner Grocery Store is a very famous vegetable supplier with the famous dish Buenaventura','vegetable','Buenaventura','Parin1957@armyspy.com',65,87221272,'3018 Bedok Nth St 5 #01-32 Singapore 486132',247964,7,14),</v>
      </c>
    </row>
    <row r="40" spans="1:14" ht="21" x14ac:dyDescent="0.25">
      <c r="A40">
        <v>39</v>
      </c>
      <c r="B40" s="1" t="s">
        <v>26</v>
      </c>
      <c r="C40" t="str">
        <f t="shared" si="0"/>
        <v>SAL Daylight Donuts is a very famous fusion supplier with the famous dish Puchilco</v>
      </c>
      <c r="D40" t="s">
        <v>114</v>
      </c>
      <c r="E40" s="2" t="s">
        <v>94</v>
      </c>
      <c r="F40" t="s">
        <v>61</v>
      </c>
      <c r="G40">
        <v>65</v>
      </c>
      <c r="H40">
        <v>87221272</v>
      </c>
      <c r="I40" s="3" t="s">
        <v>153</v>
      </c>
      <c r="J40" s="9">
        <v>247964</v>
      </c>
      <c r="K40" s="4">
        <v>7</v>
      </c>
      <c r="L40" s="4">
        <v>14</v>
      </c>
      <c r="M40" s="3"/>
      <c r="N40" t="str">
        <f t="shared" si="1"/>
        <v>(39,'SAL Daylight Donuts','SAL Daylight Donuts is a very famous fusion supplier with the famous dish Puchilco','fusion','Puchilco','Parin1957@armyspy.com',65,87221272,'Paya Lebar Rd Singapore 1440',247964,7,14),</v>
      </c>
    </row>
    <row r="41" spans="1:14" ht="15.75" x14ac:dyDescent="0.25">
      <c r="A41">
        <v>40</v>
      </c>
      <c r="B41" s="1" t="s">
        <v>27</v>
      </c>
      <c r="C41" t="str">
        <f t="shared" si="0"/>
        <v>Sovereign Grounds is a very famous fusion supplier with the famous dish Quistagama</v>
      </c>
      <c r="D41" t="s">
        <v>114</v>
      </c>
      <c r="E41" s="2" t="s">
        <v>95</v>
      </c>
      <c r="F41" t="s">
        <v>61</v>
      </c>
      <c r="G41">
        <v>65</v>
      </c>
      <c r="H41">
        <v>87221272</v>
      </c>
      <c r="I41" s="3" t="s">
        <v>154</v>
      </c>
      <c r="J41" s="9">
        <v>247964</v>
      </c>
      <c r="K41" s="4">
        <v>7</v>
      </c>
      <c r="L41" s="4">
        <v>14</v>
      </c>
      <c r="M41" s="3"/>
      <c r="N41" t="str">
        <f t="shared" si="1"/>
        <v>(40,'Sovereign Grounds','Sovereign Grounds is a very famous fusion supplier with the famous dish Quistagama','fusion','Quistagama','Parin1957@armyspy.com',65,87221272,'6 Joo Koon Crescent',247964,7,14),</v>
      </c>
    </row>
    <row r="42" spans="1:14" ht="15.75" x14ac:dyDescent="0.25">
      <c r="A42">
        <v>41</v>
      </c>
      <c r="B42" s="1" t="s">
        <v>28</v>
      </c>
      <c r="C42" t="str">
        <f t="shared" si="0"/>
        <v>Quick Trip is a very famous asian supplier with the famous dish Hualaihué</v>
      </c>
      <c r="D42" t="s">
        <v>113</v>
      </c>
      <c r="E42" s="2" t="s">
        <v>96</v>
      </c>
      <c r="F42" t="s">
        <v>61</v>
      </c>
      <c r="G42">
        <v>65</v>
      </c>
      <c r="H42">
        <v>87221272</v>
      </c>
      <c r="I42" s="3" t="s">
        <v>155</v>
      </c>
      <c r="J42" s="9">
        <v>247964</v>
      </c>
      <c r="K42" s="4">
        <v>7</v>
      </c>
      <c r="L42" s="4">
        <v>14</v>
      </c>
      <c r="M42" s="3"/>
      <c r="N42" t="str">
        <f t="shared" si="1"/>
        <v>(41,'Quick Trip','Quick Trip is a very famous asian supplier with the famous dish Hualaihué','asian','Hualaihué','Parin1957@armyspy.com',65,87221272,'32 Tuas View Loop',247964,7,14),</v>
      </c>
    </row>
    <row r="43" spans="1:14" ht="21" x14ac:dyDescent="0.25">
      <c r="A43">
        <v>42</v>
      </c>
      <c r="B43" s="1" t="s">
        <v>29</v>
      </c>
      <c r="C43" t="str">
        <f t="shared" si="0"/>
        <v>K C Foods is a very famous vegetable supplier with the famous dish Gultro</v>
      </c>
      <c r="D43" t="s">
        <v>115</v>
      </c>
      <c r="E43" s="2" t="s">
        <v>97</v>
      </c>
      <c r="F43" t="s">
        <v>61</v>
      </c>
      <c r="G43">
        <v>65</v>
      </c>
      <c r="H43">
        <v>87221272</v>
      </c>
      <c r="I43" s="3" t="s">
        <v>156</v>
      </c>
      <c r="J43" s="9">
        <v>247964</v>
      </c>
      <c r="K43" s="4">
        <v>7</v>
      </c>
      <c r="L43" s="4">
        <v>14</v>
      </c>
      <c r="M43" s="3"/>
      <c r="N43" t="str">
        <f t="shared" si="1"/>
        <v>(42,'K C Foods','K C Foods is a very famous vegetable supplier with the famous dish Gultro','vegetable','Gultro','Parin1957@armyspy.com',65,87221272,'3016 Bedok Nth Ave 4 #01-03',247964,7,14),</v>
      </c>
    </row>
    <row r="44" spans="1:14" ht="15.75" x14ac:dyDescent="0.25">
      <c r="A44">
        <v>43</v>
      </c>
      <c r="B44" s="1" t="s">
        <v>30</v>
      </c>
      <c r="C44" t="str">
        <f t="shared" si="0"/>
        <v>Natural Foods Store is a very famous fusion supplier with the famous dish Chigualoco</v>
      </c>
      <c r="D44" t="s">
        <v>114</v>
      </c>
      <c r="E44" s="2" t="s">
        <v>98</v>
      </c>
      <c r="F44" t="s">
        <v>61</v>
      </c>
      <c r="G44">
        <v>65</v>
      </c>
      <c r="H44">
        <v>87221272</v>
      </c>
      <c r="I44" s="3" t="s">
        <v>157</v>
      </c>
      <c r="J44" s="9">
        <v>247964</v>
      </c>
      <c r="K44" s="4">
        <v>7</v>
      </c>
      <c r="L44" s="4">
        <v>14</v>
      </c>
      <c r="M44" s="3"/>
      <c r="N44" t="str">
        <f t="shared" si="1"/>
        <v>(43,'Natural Foods Store','Natural Foods Store is a very famous fusion supplier with the famous dish Chigualoco','fusion','Chigualoco','Parin1957@armyspy.com',65,87221272,'15 Pioneer Sector 2',247964,7,14),</v>
      </c>
    </row>
    <row r="45" spans="1:14" ht="21" x14ac:dyDescent="0.25">
      <c r="A45">
        <v>44</v>
      </c>
      <c r="B45" s="1" t="s">
        <v>31</v>
      </c>
      <c r="C45" t="str">
        <f t="shared" si="0"/>
        <v>LA India Brand is a very famous western supplier with the famous dish Loros</v>
      </c>
      <c r="D45" t="s">
        <v>112</v>
      </c>
      <c r="E45" s="2" t="s">
        <v>99</v>
      </c>
      <c r="F45" t="s">
        <v>61</v>
      </c>
      <c r="G45">
        <v>65</v>
      </c>
      <c r="H45">
        <v>87221272</v>
      </c>
      <c r="I45" s="3" t="s">
        <v>158</v>
      </c>
      <c r="J45" s="9">
        <v>247964</v>
      </c>
      <c r="K45" s="4">
        <v>7</v>
      </c>
      <c r="L45" s="4">
        <v>14</v>
      </c>
      <c r="M45" s="3"/>
      <c r="N45" t="str">
        <f t="shared" si="1"/>
        <v>(44,'LA India Brand','LA India Brand is a very famous western supplier with the famous dish Loros','western','Loros','Parin1957@armyspy.com',65,87221272,'51 Tuas Ave 1 Singapore 639501 ',247964,7,14),</v>
      </c>
    </row>
    <row r="46" spans="1:14" ht="31.5" x14ac:dyDescent="0.25">
      <c r="A46">
        <v>45</v>
      </c>
      <c r="B46" s="1" t="s">
        <v>32</v>
      </c>
      <c r="C46" t="str">
        <f t="shared" si="0"/>
        <v>Bill Champ is a very famous western supplier with the famous dish Huecahuecan</v>
      </c>
      <c r="D46" t="s">
        <v>112</v>
      </c>
      <c r="E46" s="2" t="s">
        <v>100</v>
      </c>
      <c r="F46" t="s">
        <v>61</v>
      </c>
      <c r="G46">
        <v>65</v>
      </c>
      <c r="H46">
        <v>87221272</v>
      </c>
      <c r="I46" s="3" t="s">
        <v>159</v>
      </c>
      <c r="J46" s="9">
        <v>247964</v>
      </c>
      <c r="K46" s="4">
        <v>7</v>
      </c>
      <c r="L46" s="4">
        <v>14</v>
      </c>
      <c r="M46" s="3"/>
      <c r="N46" t="str">
        <f t="shared" si="1"/>
        <v>(45,'Bill Champ','Bill Champ is a very famous western supplier with the famous dish Huecahuecan','western','Huecahuecan','Parin1957@armyspy.com',65,87221272,'623 Aljunied Road #07-03 ALJUNIED INDUSTRIAL COMPLEX',247964,7,14),</v>
      </c>
    </row>
    <row r="47" spans="1:14" ht="21" x14ac:dyDescent="0.25">
      <c r="A47">
        <v>46</v>
      </c>
      <c r="B47" s="1" t="s">
        <v>33</v>
      </c>
      <c r="C47" t="str">
        <f t="shared" si="0"/>
        <v>Alex Lee Inc is a very famous western supplier with the famous dish Lancagua</v>
      </c>
      <c r="D47" t="s">
        <v>112</v>
      </c>
      <c r="E47" s="2" t="s">
        <v>101</v>
      </c>
      <c r="F47" t="s">
        <v>61</v>
      </c>
      <c r="G47">
        <v>65</v>
      </c>
      <c r="H47">
        <v>87221272</v>
      </c>
      <c r="I47" s="3" t="s">
        <v>160</v>
      </c>
      <c r="J47" s="9">
        <v>247964</v>
      </c>
      <c r="K47" s="4">
        <v>7</v>
      </c>
      <c r="L47" s="4">
        <v>14</v>
      </c>
      <c r="M47" s="3"/>
      <c r="N47" t="str">
        <f t="shared" si="1"/>
        <v>(46,'Alex Lee Inc','Alex Lee Inc is a very famous western supplier with the famous dish Lancagua','western','Lancagua','Parin1957@armyspy.com',65,87221272,'21 Lor Ampas #09-00 Singapore 328782',247964,7,14),</v>
      </c>
    </row>
    <row r="48" spans="1:14" ht="21" x14ac:dyDescent="0.25">
      <c r="A48">
        <v>47</v>
      </c>
      <c r="B48" s="1" t="s">
        <v>34</v>
      </c>
      <c r="C48" t="str">
        <f t="shared" si="0"/>
        <v>Friday Harbor Market Place is a very famous vegetable supplier with the famous dish Pejerrey</v>
      </c>
      <c r="D48" t="s">
        <v>115</v>
      </c>
      <c r="E48" s="2" t="s">
        <v>102</v>
      </c>
      <c r="F48" t="s">
        <v>61</v>
      </c>
      <c r="G48">
        <v>65</v>
      </c>
      <c r="H48">
        <v>87221272</v>
      </c>
      <c r="I48" s="3" t="s">
        <v>161</v>
      </c>
      <c r="J48" s="9">
        <v>247964</v>
      </c>
      <c r="K48" s="4">
        <v>7</v>
      </c>
      <c r="L48" s="4">
        <v>14</v>
      </c>
      <c r="M48" s="3"/>
      <c r="N48" t="str">
        <f t="shared" si="1"/>
        <v>(47,'Friday Harbor Market Place','Friday Harbor Market Place is a very famous vegetable supplier with the famous dish Pejerrey','vegetable','Pejerrey','Parin1957@armyspy.com',65,87221272,'66 Tannery Lane #01-04D Sindo Building',247964,7,14),</v>
      </c>
    </row>
    <row r="49" spans="1:14" ht="15.75" x14ac:dyDescent="0.25">
      <c r="A49">
        <v>48</v>
      </c>
      <c r="B49" s="1" t="s">
        <v>28</v>
      </c>
      <c r="C49" t="str">
        <f t="shared" si="0"/>
        <v>Quick Trip is a very famous fusion supplier with the famous dish Central</v>
      </c>
      <c r="D49" t="s">
        <v>114</v>
      </c>
      <c r="E49" s="2" t="s">
        <v>103</v>
      </c>
      <c r="F49" t="s">
        <v>61</v>
      </c>
      <c r="G49">
        <v>65</v>
      </c>
      <c r="H49">
        <v>87221272</v>
      </c>
      <c r="I49" s="3" t="s">
        <v>162</v>
      </c>
      <c r="J49" s="9">
        <v>247964</v>
      </c>
      <c r="K49" s="4">
        <v>7</v>
      </c>
      <c r="L49" s="4">
        <v>14</v>
      </c>
      <c r="M49" s="3"/>
      <c r="N49" t="str">
        <f t="shared" si="1"/>
        <v>(48,'Quick Trip','Quick Trip is a very famous fusion supplier with the famous dish Central','fusion','Central','Parin1957@armyspy.com',65,87221272,'26 Benoi Sector Jurong',247964,7,14),</v>
      </c>
    </row>
    <row r="50" spans="1:14" ht="21" x14ac:dyDescent="0.25">
      <c r="A50">
        <v>49</v>
      </c>
      <c r="B50" s="1" t="s">
        <v>35</v>
      </c>
      <c r="C50" t="str">
        <f t="shared" si="0"/>
        <v>People Gotta Eat is a very famous fusion supplier with the famous dish Negrete</v>
      </c>
      <c r="D50" t="s">
        <v>114</v>
      </c>
      <c r="E50" s="2" t="s">
        <v>104</v>
      </c>
      <c r="F50" t="s">
        <v>61</v>
      </c>
      <c r="G50">
        <v>65</v>
      </c>
      <c r="H50">
        <v>87221272</v>
      </c>
      <c r="I50" s="3" t="s">
        <v>163</v>
      </c>
      <c r="J50" s="9">
        <v>247964</v>
      </c>
      <c r="K50" s="4">
        <v>7</v>
      </c>
      <c r="L50" s="4">
        <v>14</v>
      </c>
      <c r="M50" s="3"/>
      <c r="N50" t="str">
        <f t="shared" si="1"/>
        <v>(49,'People Gotta Eat','People Gotta Eat is a very famous fusion supplier with the famous dish Negrete','fusion','Negrete','Parin1957@armyspy.com',65,87221272,'322D King Georges Avenue',247964,7,14),</v>
      </c>
    </row>
    <row r="51" spans="1:14" ht="31.5" x14ac:dyDescent="0.25">
      <c r="A51">
        <v>50</v>
      </c>
      <c r="B51" s="1" t="s">
        <v>36</v>
      </c>
      <c r="C51" t="str">
        <f t="shared" si="0"/>
        <v>Hot Spot Stores is a very famous fusion supplier with the famous dish Chinquio</v>
      </c>
      <c r="D51" t="s">
        <v>114</v>
      </c>
      <c r="E51" s="2" t="s">
        <v>105</v>
      </c>
      <c r="F51" t="s">
        <v>61</v>
      </c>
      <c r="G51">
        <v>65</v>
      </c>
      <c r="H51">
        <v>87221272</v>
      </c>
      <c r="I51" s="3" t="s">
        <v>164</v>
      </c>
      <c r="J51" s="9">
        <v>247964</v>
      </c>
      <c r="K51" s="4">
        <v>7</v>
      </c>
      <c r="L51" s="4">
        <v>14</v>
      </c>
      <c r="M51" s="3"/>
      <c r="N51" t="str">
        <f t="shared" si="1"/>
        <v>(50,'Hot Spot Stores','Hot Spot Stores is a very famous fusion supplier with the famous dish Chinquio','fusion','Chinquio','Parin1957@armyspy.com',65,87221272,'8 Tanjong Penjuru JURONG INDUSTRIAL ESTATE',247964,7,14),</v>
      </c>
    </row>
    <row r="52" spans="1:14" ht="15.75" x14ac:dyDescent="0.25">
      <c r="A52">
        <v>51</v>
      </c>
      <c r="B52" s="1" t="s">
        <v>37</v>
      </c>
      <c r="C52" t="str">
        <f t="shared" si="0"/>
        <v>Drug Warehouse Wine &amp; Spirits is a very famous fusion supplier with the famous dish Ausipas</v>
      </c>
      <c r="D52" t="s">
        <v>114</v>
      </c>
      <c r="E52" s="2" t="s">
        <v>106</v>
      </c>
      <c r="F52" t="s">
        <v>61</v>
      </c>
      <c r="G52">
        <v>65</v>
      </c>
      <c r="H52">
        <v>87221272</v>
      </c>
      <c r="I52" s="3" t="s">
        <v>165</v>
      </c>
      <c r="J52" s="9">
        <v>247964</v>
      </c>
      <c r="K52" s="4">
        <v>7</v>
      </c>
      <c r="L52" s="4">
        <v>14</v>
      </c>
      <c r="M52" s="3"/>
      <c r="N52" t="str">
        <f t="shared" si="1"/>
        <v>(51,'Drug Warehouse Wine &amp; Spirits','Drug Warehouse Wine &amp; Spirits is a very famous fusion supplier with the famous dish Ausipas','fusion','Ausipas','Parin1957@armyspy.com',65,87221272,'44 Pioneer Sector 2',247964,7,14),</v>
      </c>
    </row>
    <row r="53" spans="1:14" ht="15.75" x14ac:dyDescent="0.25">
      <c r="A53">
        <v>52</v>
      </c>
      <c r="B53" s="1" t="s">
        <v>38</v>
      </c>
      <c r="C53" t="str">
        <f t="shared" si="0"/>
        <v>King Soopers 65 is a very famous fusion supplier with the famous dish Junquillar</v>
      </c>
      <c r="D53" t="s">
        <v>114</v>
      </c>
      <c r="E53" s="2" t="s">
        <v>107</v>
      </c>
      <c r="F53" t="s">
        <v>61</v>
      </c>
      <c r="G53">
        <v>65</v>
      </c>
      <c r="H53">
        <v>87221272</v>
      </c>
      <c r="I53" s="3" t="s">
        <v>166</v>
      </c>
      <c r="J53" s="9">
        <v>247964</v>
      </c>
      <c r="K53" s="4">
        <v>7</v>
      </c>
      <c r="L53" s="4">
        <v>14</v>
      </c>
      <c r="M53" s="3"/>
      <c r="N53" t="str">
        <f t="shared" si="1"/>
        <v>(52,'King Soopers 65','King Soopers 65 is a very famous fusion supplier with the famous dish Junquillar','fusion','Junquillar','Parin1957@armyspy.com',65,87221272,'8 Tanjong Penjuru',247964,7,14),</v>
      </c>
    </row>
    <row r="54" spans="1:14" ht="15.75" x14ac:dyDescent="0.25">
      <c r="A54">
        <v>53</v>
      </c>
      <c r="B54" s="1" t="s">
        <v>39</v>
      </c>
      <c r="C54" t="str">
        <f t="shared" si="0"/>
        <v>Adonijah Health Food is a very famous fusion supplier with the famous dish Ayrocollo</v>
      </c>
      <c r="D54" t="s">
        <v>114</v>
      </c>
      <c r="E54" s="2" t="s">
        <v>108</v>
      </c>
      <c r="F54" t="s">
        <v>61</v>
      </c>
      <c r="G54">
        <v>65</v>
      </c>
      <c r="H54">
        <v>87221272</v>
      </c>
      <c r="I54" s="3" t="s">
        <v>167</v>
      </c>
      <c r="J54" s="9">
        <v>247964</v>
      </c>
      <c r="K54" s="4">
        <v>7</v>
      </c>
      <c r="L54" s="4">
        <v>14</v>
      </c>
      <c r="M54" s="3"/>
      <c r="N54" t="str">
        <f t="shared" si="1"/>
        <v>(53,'Adonijah Health Food','Adonijah Health Food is a very famous fusion supplier with the famous dish Ayrocollo','fusion','Ayrocollo','Parin1957@armyspy.com',65,87221272,'11 Kian Teck Road',247964,7,14),</v>
      </c>
    </row>
    <row r="55" spans="1:14" ht="21" x14ac:dyDescent="0.25">
      <c r="A55">
        <v>54</v>
      </c>
      <c r="B55" s="1" t="s">
        <v>40</v>
      </c>
      <c r="C55" t="str">
        <f t="shared" si="0"/>
        <v>Bike Stop is a very famous asian supplier with the famous dish Curanilahue</v>
      </c>
      <c r="D55" t="s">
        <v>113</v>
      </c>
      <c r="E55" s="2" t="s">
        <v>109</v>
      </c>
      <c r="F55" t="s">
        <v>61</v>
      </c>
      <c r="G55">
        <v>65</v>
      </c>
      <c r="H55">
        <v>87221272</v>
      </c>
      <c r="I55" s="3" t="s">
        <v>168</v>
      </c>
      <c r="J55" s="9">
        <v>247964</v>
      </c>
      <c r="K55" s="4">
        <v>7</v>
      </c>
      <c r="L55" s="4">
        <v>14</v>
      </c>
      <c r="M55" s="3"/>
      <c r="N55" t="str">
        <f t="shared" si="1"/>
        <v>(54,'Bike Stop','Bike Stop is a very famous asian supplier with the famous dish Curanilahue','asian','Curanilahue','Parin1957@armyspy.com',65,87221272,'261 Waterloo Street #02-26',247964,7,14),</v>
      </c>
    </row>
    <row r="56" spans="1:14" ht="21" x14ac:dyDescent="0.25">
      <c r="A56">
        <v>55</v>
      </c>
      <c r="B56" s="1" t="s">
        <v>41</v>
      </c>
      <c r="C56" t="str">
        <f t="shared" si="0"/>
        <v>Chocolate Studio is a very famous fusion supplier with the famous dish Mellipilla</v>
      </c>
      <c r="D56" t="s">
        <v>114</v>
      </c>
      <c r="E56" s="2" t="s">
        <v>110</v>
      </c>
      <c r="F56" t="s">
        <v>61</v>
      </c>
      <c r="G56">
        <v>65</v>
      </c>
      <c r="H56">
        <v>87221272</v>
      </c>
      <c r="I56" s="3" t="s">
        <v>169</v>
      </c>
      <c r="J56" s="9">
        <v>247964</v>
      </c>
      <c r="K56" s="4">
        <v>7</v>
      </c>
      <c r="L56" s="4">
        <v>14</v>
      </c>
      <c r="M56" s="3"/>
      <c r="N56" t="str">
        <f t="shared" si="1"/>
        <v>(55,'Chocolate Studio','Chocolate Studio is a very famous fusion supplier with the famous dish Mellipilla','fusion','Mellipilla','Parin1957@armyspy.com',65,87221272,'Blk 9-H Yuan Ching Road #15-82',247964,7,14),</v>
      </c>
    </row>
    <row r="57" spans="1:14" ht="31.5" x14ac:dyDescent="0.25">
      <c r="A57">
        <v>56</v>
      </c>
      <c r="B57" s="1" t="s">
        <v>42</v>
      </c>
      <c r="C57" t="str">
        <f t="shared" si="0"/>
        <v>Olympic Bagel Company Inc is a very famous western supplier with the famous dish Pumanque</v>
      </c>
      <c r="D57" t="s">
        <v>112</v>
      </c>
      <c r="E57" s="2" t="s">
        <v>111</v>
      </c>
      <c r="F57" t="s">
        <v>61</v>
      </c>
      <c r="G57">
        <v>65</v>
      </c>
      <c r="H57">
        <v>87221272</v>
      </c>
      <c r="I57" s="3" t="s">
        <v>170</v>
      </c>
      <c r="J57" s="9">
        <v>247964</v>
      </c>
      <c r="K57" s="4">
        <v>7</v>
      </c>
      <c r="L57" s="4">
        <v>14</v>
      </c>
      <c r="M57" s="3"/>
      <c r="N57" t="str">
        <f t="shared" si="1"/>
        <v>(56,'Olympic Bagel Company Inc','Olympic Bagel Company Inc is a very famous western supplier with the famous dish Pumanque','western','Pumanque','Parin1957@armyspy.com',65,87221272,'20 Shaw Road #06-05 CHING SHINE INDUSTRIAL BUILDING',247964,7,14),</v>
      </c>
    </row>
    <row r="58" spans="1:14" ht="15.75" x14ac:dyDescent="0.25">
      <c r="A58">
        <v>57</v>
      </c>
      <c r="B58" s="1" t="s">
        <v>43</v>
      </c>
      <c r="C58" t="str">
        <f t="shared" si="0"/>
        <v>RGA Enterprises is a very famous western supplier with the famous dish Punucapa</v>
      </c>
      <c r="D58" t="s">
        <v>112</v>
      </c>
      <c r="E58" s="2" t="s">
        <v>62</v>
      </c>
      <c r="F58" t="s">
        <v>61</v>
      </c>
      <c r="G58">
        <v>65</v>
      </c>
      <c r="H58">
        <v>87221272</v>
      </c>
      <c r="I58" s="3" t="s">
        <v>171</v>
      </c>
      <c r="J58" s="9">
        <v>247964</v>
      </c>
      <c r="K58" s="4">
        <v>7</v>
      </c>
      <c r="L58" s="4">
        <v>14</v>
      </c>
      <c r="M58" s="3"/>
      <c r="N58" t="str">
        <f t="shared" si="1"/>
        <v>(57,'RGA Enterprises','RGA Enterprises is a very famous western supplier with the famous dish Punucapa','western','Punucapa','Parin1957@armyspy.com',65,87221272,'1 Scotts Road #16-12',247964,7,14),</v>
      </c>
    </row>
    <row r="59" spans="1:14" ht="15.75" x14ac:dyDescent="0.25">
      <c r="A59">
        <v>58</v>
      </c>
      <c r="B59" s="1" t="s">
        <v>44</v>
      </c>
      <c r="C59" t="str">
        <f t="shared" si="0"/>
        <v>Desert Sage Herbs Inc is a very famous beverage supplier with the famous dish Iltapata</v>
      </c>
      <c r="D59" t="s">
        <v>116</v>
      </c>
      <c r="E59" s="2" t="s">
        <v>63</v>
      </c>
      <c r="F59" t="s">
        <v>61</v>
      </c>
      <c r="G59">
        <v>65</v>
      </c>
      <c r="H59">
        <v>87221272</v>
      </c>
      <c r="I59" s="3" t="s">
        <v>172</v>
      </c>
      <c r="J59" s="9">
        <v>247964</v>
      </c>
      <c r="K59" s="4">
        <v>7</v>
      </c>
      <c r="L59" s="4">
        <v>14</v>
      </c>
      <c r="M59" s="3"/>
      <c r="N59" t="str">
        <f t="shared" si="1"/>
        <v>(58,'Desert Sage Herbs Inc','Desert Sage Herbs Inc is a very famous beverage supplier with the famous dish Iltapata','beverage','Iltapata','Parin1957@armyspy.com',65,87221272,'23A Jalan Grisek',247964,7,14),</v>
      </c>
    </row>
    <row r="60" spans="1:14" ht="21" x14ac:dyDescent="0.25">
      <c r="A60">
        <v>59</v>
      </c>
      <c r="B60" s="1" t="s">
        <v>567</v>
      </c>
      <c r="C60" t="str">
        <f t="shared" si="0"/>
        <v>Hills Pharmacy is a very famous western supplier with the famous dish Pichicolo</v>
      </c>
      <c r="D60" t="s">
        <v>112</v>
      </c>
      <c r="E60" s="2" t="s">
        <v>64</v>
      </c>
      <c r="F60" t="s">
        <v>61</v>
      </c>
      <c r="G60">
        <v>65</v>
      </c>
      <c r="H60">
        <v>87221272</v>
      </c>
      <c r="I60" s="3" t="s">
        <v>173</v>
      </c>
      <c r="J60" s="9">
        <v>247964</v>
      </c>
      <c r="K60" s="4">
        <v>7</v>
      </c>
      <c r="L60" s="4">
        <v>14</v>
      </c>
      <c r="M60" s="3"/>
      <c r="N60" t="str">
        <f t="shared" si="1"/>
        <v>(59,'Hills Pharmacy','Hills Pharmacy is a very famous western supplier with the famous dish Pichicolo','western','Pichicolo','Parin1957@armyspy.com',65,87221272,'8A Tuas Ave 13 Singapore 638981',247964,7,14),</v>
      </c>
    </row>
    <row r="61" spans="1:14" ht="31.5" x14ac:dyDescent="0.25">
      <c r="A61">
        <v>60</v>
      </c>
      <c r="B61" s="1" t="s">
        <v>45</v>
      </c>
      <c r="C61" t="str">
        <f t="shared" si="0"/>
        <v>Western Botanicals Inc is a very famous western supplier with the famous dish Araucana</v>
      </c>
      <c r="D61" t="s">
        <v>112</v>
      </c>
      <c r="E61" s="2" t="s">
        <v>65</v>
      </c>
      <c r="F61" t="s">
        <v>61</v>
      </c>
      <c r="G61">
        <v>65</v>
      </c>
      <c r="H61">
        <v>87221272</v>
      </c>
      <c r="I61" s="3" t="s">
        <v>174</v>
      </c>
      <c r="J61" s="9">
        <v>247964</v>
      </c>
      <c r="K61" s="4">
        <v>7</v>
      </c>
      <c r="L61" s="4">
        <v>14</v>
      </c>
      <c r="M61" s="3"/>
      <c r="N61" t="str">
        <f t="shared" si="1"/>
        <v>(60,'Western Botanicals Inc','Western Botanicals Inc is a very famous western supplier with the famous dish Araucana','western','Araucana','Parin1957@armyspy.com',65,87221272,'Block 3016 Bedok North Avenue 4 #01-03 EASTECH',247964,7,14),</v>
      </c>
    </row>
    <row r="62" spans="1:14" ht="21" x14ac:dyDescent="0.25">
      <c r="A62">
        <v>61</v>
      </c>
      <c r="B62" s="1" t="s">
        <v>46</v>
      </c>
      <c r="C62" t="str">
        <f t="shared" si="0"/>
        <v>Cleos Seafood is a very famous asian supplier with the famous dish Farellones</v>
      </c>
      <c r="D62" t="s">
        <v>113</v>
      </c>
      <c r="E62" s="2" t="s">
        <v>66</v>
      </c>
      <c r="F62" t="s">
        <v>61</v>
      </c>
      <c r="G62">
        <v>65</v>
      </c>
      <c r="H62">
        <v>87221272</v>
      </c>
      <c r="I62" s="3" t="s">
        <v>175</v>
      </c>
      <c r="J62" s="9">
        <v>247964</v>
      </c>
      <c r="K62" s="4">
        <v>7</v>
      </c>
      <c r="L62" s="4">
        <v>14</v>
      </c>
      <c r="M62" s="3"/>
      <c r="N62" t="str">
        <f t="shared" si="1"/>
        <v>(61,'Cleos Seafood','Cleos Seafood is a very famous asian supplier with the famous dish Farellones','asian','Farellones','Parin1957@armyspy.com',65,87221272,'48 Tuas Basin Link Singapore 638778 ',247964,7,14),</v>
      </c>
    </row>
    <row r="63" spans="1:14" ht="21" x14ac:dyDescent="0.25">
      <c r="A63">
        <v>62</v>
      </c>
      <c r="B63" s="1" t="s">
        <v>47</v>
      </c>
      <c r="C63" t="str">
        <f t="shared" si="0"/>
        <v>Captain Marden is a very famous asian supplier with the famous dish Apiau</v>
      </c>
      <c r="D63" t="s">
        <v>113</v>
      </c>
      <c r="E63" s="2" t="s">
        <v>67</v>
      </c>
      <c r="F63" t="s">
        <v>61</v>
      </c>
      <c r="G63">
        <v>65</v>
      </c>
      <c r="H63">
        <v>87221272</v>
      </c>
      <c r="I63" s="3" t="s">
        <v>176</v>
      </c>
      <c r="J63" s="9">
        <v>247964</v>
      </c>
      <c r="K63" s="4">
        <v>7</v>
      </c>
      <c r="L63" s="4">
        <v>14</v>
      </c>
      <c r="M63" s="3"/>
      <c r="N63" t="str">
        <f t="shared" si="1"/>
        <v>(62,'Captain Marden','Captain Marden is a very famous asian supplier with the famous dish Apiau','asian','Apiau','Parin1957@armyspy.com',65,87221272,'1 Bt Batok St 22 #03-28 Singapore 659592',247964,7,14),</v>
      </c>
    </row>
    <row r="64" spans="1:14" ht="15.75" x14ac:dyDescent="0.25">
      <c r="A64">
        <v>63</v>
      </c>
      <c r="B64" s="1" t="s">
        <v>48</v>
      </c>
      <c r="C64" t="str">
        <f t="shared" si="0"/>
        <v>Food Town is a very famous western supplier with the famous dish Galvarino</v>
      </c>
      <c r="D64" t="s">
        <v>112</v>
      </c>
      <c r="E64" s="2" t="s">
        <v>68</v>
      </c>
      <c r="F64" t="s">
        <v>61</v>
      </c>
      <c r="G64">
        <v>65</v>
      </c>
      <c r="H64">
        <v>87221272</v>
      </c>
      <c r="I64" s="3" t="s">
        <v>177</v>
      </c>
      <c r="J64" s="9">
        <v>247964</v>
      </c>
      <c r="K64" s="4">
        <v>7</v>
      </c>
      <c r="L64" s="4">
        <v>14</v>
      </c>
      <c r="M64" s="3"/>
      <c r="N64" t="str">
        <f t="shared" si="1"/>
        <v>(63,'Food Town','Food Town is a very famous western supplier with the famous dish Galvarino','western','Galvarino','Parin1957@armyspy.com',65,87221272,'50 Kian Teck Road',247964,7,14),</v>
      </c>
    </row>
    <row r="65" spans="1:14" ht="31.5" x14ac:dyDescent="0.25">
      <c r="A65">
        <v>64</v>
      </c>
      <c r="B65" s="1" t="s">
        <v>49</v>
      </c>
      <c r="C65" t="str">
        <f t="shared" si="0"/>
        <v>Coffee Beanery is a very famous beverage supplier with the famous dish Caracoles</v>
      </c>
      <c r="D65" t="s">
        <v>116</v>
      </c>
      <c r="E65" s="2" t="s">
        <v>69</v>
      </c>
      <c r="F65" t="s">
        <v>61</v>
      </c>
      <c r="G65">
        <v>65</v>
      </c>
      <c r="H65">
        <v>87221272</v>
      </c>
      <c r="I65" s="3" t="s">
        <v>178</v>
      </c>
      <c r="J65" s="9">
        <v>247964</v>
      </c>
      <c r="K65" s="4">
        <v>7</v>
      </c>
      <c r="L65" s="4">
        <v>14</v>
      </c>
      <c r="M65" s="3"/>
      <c r="N65" t="str">
        <f t="shared" si="1"/>
        <v>(64,'Coffee Beanery','Coffee Beanery is a very famous beverage supplier with the famous dish Caracoles','beverage','Caracoles','Parin1957@armyspy.com',65,87221272,'63 Hillview Ave #03-09 Lam Soon Ind Bldg Singapore 669569 ',247964,7,14),</v>
      </c>
    </row>
    <row r="66" spans="1:14" ht="42" x14ac:dyDescent="0.25">
      <c r="A66">
        <v>65</v>
      </c>
      <c r="B66" s="1" t="s">
        <v>50</v>
      </c>
      <c r="C66" t="str">
        <f t="shared" si="0"/>
        <v>Breaux Mart Supermarkets is a very famous western supplier with the famous dish Huilque</v>
      </c>
      <c r="D66" t="s">
        <v>112</v>
      </c>
      <c r="E66" s="2" t="s">
        <v>70</v>
      </c>
      <c r="F66" t="s">
        <v>61</v>
      </c>
      <c r="G66">
        <v>65</v>
      </c>
      <c r="H66">
        <v>87221272</v>
      </c>
      <c r="I66" s="3" t="s">
        <v>179</v>
      </c>
      <c r="J66" s="9">
        <v>247964</v>
      </c>
      <c r="K66" s="4">
        <v>7</v>
      </c>
      <c r="L66" s="4">
        <v>14</v>
      </c>
      <c r="M66" s="3"/>
      <c r="N66" t="str">
        <f t="shared" si="1"/>
        <v>(65,'Breaux Mart Supermarkets','Breaux Mart Supermarkets is a very famous western supplier with the famous dish Huilque','western','Huilque','Parin1957@armyspy.com',65,87221272,'Block 35 Tannery Road #11-10 Tannery Block, Ruby Industrial Complex',247964,7,14),</v>
      </c>
    </row>
    <row r="67" spans="1:14" ht="21" x14ac:dyDescent="0.25">
      <c r="A67">
        <v>66</v>
      </c>
      <c r="B67" s="1" t="s">
        <v>51</v>
      </c>
      <c r="C67" t="str">
        <f t="shared" si="0"/>
        <v>Mars Cafe is a very famous western supplier with the famous dish Matanzas</v>
      </c>
      <c r="D67" t="s">
        <v>112</v>
      </c>
      <c r="E67" s="2" t="s">
        <v>71</v>
      </c>
      <c r="F67" t="s">
        <v>61</v>
      </c>
      <c r="G67">
        <v>65</v>
      </c>
      <c r="H67">
        <v>87221272</v>
      </c>
      <c r="I67" s="3" t="s">
        <v>180</v>
      </c>
      <c r="J67" s="9">
        <v>247964</v>
      </c>
      <c r="K67" s="4">
        <v>7</v>
      </c>
      <c r="L67" s="4">
        <v>14</v>
      </c>
      <c r="M67" s="3"/>
      <c r="N67" t="str">
        <f t="shared" si="1"/>
        <v>(66,'Mars Cafe','Mars Cafe is a very famous western supplier with the famous dish Matanzas','western','Matanzas','Parin1957@armyspy.com',65,87221272,'5 Tuas Avenue 3 Bok Seng Building',247964,7,14),</v>
      </c>
    </row>
    <row r="68" spans="1:14" x14ac:dyDescent="0.25">
      <c r="E68" s="2"/>
      <c r="I68" s="3"/>
      <c r="K68" s="3"/>
      <c r="L68" s="3"/>
      <c r="M68" s="3"/>
    </row>
    <row r="69" spans="1:14" x14ac:dyDescent="0.25">
      <c r="E69" s="2"/>
      <c r="I69" s="3"/>
      <c r="K69" s="3"/>
      <c r="L69" s="3"/>
      <c r="M69" s="3"/>
    </row>
    <row r="70" spans="1:14" x14ac:dyDescent="0.25">
      <c r="E70" s="2"/>
      <c r="I70" s="3"/>
      <c r="K70" s="3"/>
      <c r="L70" s="3"/>
      <c r="M70" s="3"/>
    </row>
    <row r="71" spans="1:14" x14ac:dyDescent="0.25">
      <c r="E71" s="2"/>
      <c r="I71" s="3"/>
      <c r="K71" s="3"/>
      <c r="L71" s="3"/>
      <c r="M71" s="3"/>
    </row>
    <row r="72" spans="1:14" x14ac:dyDescent="0.25">
      <c r="E72" s="2"/>
      <c r="I72" s="3"/>
      <c r="K72" s="3"/>
      <c r="L72" s="3"/>
      <c r="M72" s="3"/>
    </row>
    <row r="73" spans="1:14" x14ac:dyDescent="0.25">
      <c r="E73" s="2"/>
      <c r="I73" s="3"/>
      <c r="K73" s="3"/>
      <c r="L73" s="3"/>
      <c r="M73" s="3"/>
    </row>
    <row r="74" spans="1:14" x14ac:dyDescent="0.25">
      <c r="E74" s="2"/>
      <c r="I74" s="3"/>
      <c r="K74" s="3"/>
      <c r="L74" s="3"/>
      <c r="M74" s="3"/>
    </row>
    <row r="75" spans="1:14" x14ac:dyDescent="0.25">
      <c r="E75" s="2"/>
      <c r="I75" s="3"/>
      <c r="K75" s="3"/>
      <c r="L75" s="3"/>
      <c r="M75" s="3"/>
    </row>
    <row r="76" spans="1:14" x14ac:dyDescent="0.25">
      <c r="E76" s="2"/>
      <c r="I76" s="3"/>
      <c r="K76" s="3"/>
      <c r="L76" s="3"/>
      <c r="M76" s="3"/>
    </row>
    <row r="77" spans="1:14" x14ac:dyDescent="0.25">
      <c r="E77" s="2"/>
      <c r="I77" s="3"/>
      <c r="K77" s="3"/>
      <c r="L77" s="3"/>
      <c r="M77" s="3"/>
    </row>
    <row r="78" spans="1:14" x14ac:dyDescent="0.25">
      <c r="E78" s="2"/>
      <c r="I78" s="3"/>
      <c r="K78" s="3"/>
      <c r="L78" s="3"/>
      <c r="M78" s="3"/>
    </row>
    <row r="79" spans="1:14" x14ac:dyDescent="0.25">
      <c r="E79" s="2"/>
      <c r="I79" s="3"/>
      <c r="K79" s="3"/>
      <c r="L79" s="3"/>
      <c r="M79" s="3"/>
    </row>
    <row r="80" spans="1:14" x14ac:dyDescent="0.25">
      <c r="E80" s="2"/>
      <c r="I80" s="3"/>
      <c r="K80" s="3"/>
      <c r="L80" s="3"/>
      <c r="M80" s="3"/>
    </row>
    <row r="81" spans="5:13" x14ac:dyDescent="0.25">
      <c r="E81" s="2"/>
      <c r="I81" s="3"/>
      <c r="K81" s="3"/>
      <c r="L81" s="3"/>
      <c r="M81" s="3"/>
    </row>
    <row r="82" spans="5:13" x14ac:dyDescent="0.25">
      <c r="E82" s="2"/>
      <c r="I82" s="3"/>
      <c r="K82" s="3"/>
      <c r="L82" s="3"/>
      <c r="M82" s="3"/>
    </row>
    <row r="83" spans="5:13" x14ac:dyDescent="0.25">
      <c r="E83" s="2"/>
      <c r="I83" s="3"/>
      <c r="K83" s="3"/>
      <c r="L83" s="3"/>
      <c r="M83" s="3"/>
    </row>
    <row r="84" spans="5:13" x14ac:dyDescent="0.25">
      <c r="E84" s="2"/>
      <c r="I84" s="3"/>
      <c r="K84" s="3"/>
      <c r="L84" s="3"/>
      <c r="M84" s="3"/>
    </row>
    <row r="85" spans="5:13" x14ac:dyDescent="0.25">
      <c r="E85" s="2"/>
      <c r="I85" s="3"/>
      <c r="K85" s="3"/>
      <c r="L85" s="3"/>
      <c r="M85" s="3"/>
    </row>
    <row r="86" spans="5:13" x14ac:dyDescent="0.25">
      <c r="E86" s="2"/>
      <c r="I86" s="3"/>
      <c r="K86" s="3"/>
      <c r="L86" s="3"/>
      <c r="M86" s="3"/>
    </row>
    <row r="87" spans="5:13" x14ac:dyDescent="0.25">
      <c r="E87" s="2"/>
      <c r="I87" s="3"/>
      <c r="K87" s="3"/>
      <c r="L87" s="3"/>
      <c r="M87" s="3"/>
    </row>
    <row r="88" spans="5:13" x14ac:dyDescent="0.25">
      <c r="E88" s="2"/>
      <c r="I88" s="3"/>
      <c r="K88" s="3"/>
      <c r="L88" s="3"/>
      <c r="M88" s="3"/>
    </row>
    <row r="89" spans="5:13" x14ac:dyDescent="0.25">
      <c r="E89" s="2"/>
      <c r="I89" s="3"/>
      <c r="K89" s="3"/>
      <c r="L89" s="3"/>
      <c r="M89" s="3"/>
    </row>
    <row r="90" spans="5:13" x14ac:dyDescent="0.25">
      <c r="E90" s="2"/>
      <c r="I90" s="3"/>
      <c r="K90" s="3"/>
      <c r="L90" s="3"/>
      <c r="M90" s="3"/>
    </row>
    <row r="91" spans="5:13" ht="37.5" customHeight="1" x14ac:dyDescent="0.25">
      <c r="E91" s="2"/>
      <c r="I91" s="3"/>
      <c r="K91" s="10"/>
      <c r="L91" s="10"/>
      <c r="M91" s="10"/>
    </row>
    <row r="92" spans="5:13" x14ac:dyDescent="0.25">
      <c r="E92" s="2"/>
      <c r="I92" s="3"/>
      <c r="K92" s="10"/>
      <c r="L92" s="10"/>
      <c r="M92" s="10"/>
    </row>
    <row r="93" spans="5:13" x14ac:dyDescent="0.25">
      <c r="E93" s="2"/>
      <c r="I93" s="10"/>
      <c r="K93" s="3"/>
      <c r="L93" s="3"/>
      <c r="M93" s="3"/>
    </row>
    <row r="94" spans="5:13" x14ac:dyDescent="0.25">
      <c r="E94" s="2"/>
      <c r="I94" s="10"/>
      <c r="K94" s="3"/>
      <c r="L94" s="3"/>
      <c r="M94" s="3"/>
    </row>
    <row r="95" spans="5:13" x14ac:dyDescent="0.25">
      <c r="E95" s="2"/>
      <c r="I95" s="3"/>
      <c r="K95" s="3"/>
      <c r="L95" s="3"/>
      <c r="M95" s="3"/>
    </row>
    <row r="96" spans="5:13" x14ac:dyDescent="0.25">
      <c r="E96" s="2"/>
      <c r="I96" s="3"/>
      <c r="K96" s="3"/>
      <c r="L96" s="3"/>
      <c r="M96" s="3"/>
    </row>
    <row r="97" spans="5:13" x14ac:dyDescent="0.25">
      <c r="E97" s="2"/>
      <c r="I97" s="3"/>
      <c r="K97" s="3"/>
      <c r="L97" s="3"/>
      <c r="M97" s="3"/>
    </row>
    <row r="98" spans="5:13" x14ac:dyDescent="0.25">
      <c r="E98" s="2"/>
      <c r="I98" s="3"/>
      <c r="K98" s="3"/>
      <c r="L98" s="3"/>
      <c r="M98" s="3"/>
    </row>
    <row r="99" spans="5:13" x14ac:dyDescent="0.25">
      <c r="E99" s="2"/>
      <c r="I99" s="3"/>
      <c r="K99" s="3"/>
      <c r="L99" s="3"/>
      <c r="M99" s="3"/>
    </row>
    <row r="100" spans="5:13" x14ac:dyDescent="0.25">
      <c r="E100" s="2"/>
      <c r="I100" s="3"/>
      <c r="K100" s="3"/>
      <c r="L100" s="3"/>
      <c r="M100" s="3"/>
    </row>
    <row r="101" spans="5:13" x14ac:dyDescent="0.25">
      <c r="E101" s="2"/>
      <c r="I101" s="3"/>
      <c r="K101" s="3"/>
      <c r="L101" s="3"/>
      <c r="M101" s="3"/>
    </row>
    <row r="102" spans="5:13" x14ac:dyDescent="0.25">
      <c r="E102" s="2"/>
      <c r="I102" s="3"/>
      <c r="K102" s="3"/>
      <c r="L102" s="3"/>
      <c r="M102" s="3"/>
    </row>
    <row r="103" spans="5:13" x14ac:dyDescent="0.25">
      <c r="E103" s="2"/>
      <c r="I103" s="3"/>
      <c r="K103" s="3"/>
      <c r="L103" s="3"/>
      <c r="M103" s="3"/>
    </row>
    <row r="104" spans="5:13" x14ac:dyDescent="0.25">
      <c r="E104" s="2"/>
      <c r="I104" s="3"/>
      <c r="K104" s="3"/>
      <c r="L104" s="3"/>
      <c r="M104" s="3"/>
    </row>
    <row r="105" spans="5:13" x14ac:dyDescent="0.25">
      <c r="E105" s="2"/>
      <c r="I105" s="3"/>
      <c r="K105" s="3"/>
      <c r="L105" s="3"/>
      <c r="M105" s="3"/>
    </row>
    <row r="106" spans="5:13" x14ac:dyDescent="0.25">
      <c r="E106" s="2"/>
      <c r="I106" s="3"/>
      <c r="K106" s="3"/>
      <c r="L106" s="3"/>
      <c r="M106" s="3"/>
    </row>
    <row r="107" spans="5:13" x14ac:dyDescent="0.25">
      <c r="E107" s="2"/>
    </row>
  </sheetData>
  <mergeCells count="4">
    <mergeCell ref="K91:K92"/>
    <mergeCell ref="L91:L92"/>
    <mergeCell ref="M91:M92"/>
    <mergeCell ref="I93:I9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R79"/>
  <sheetViews>
    <sheetView workbookViewId="0">
      <selection activeCell="D5" sqref="D5"/>
    </sheetView>
  </sheetViews>
  <sheetFormatPr defaultRowHeight="15" x14ac:dyDescent="0.25"/>
  <cols>
    <col min="1" max="1" width="16.7109375" customWidth="1"/>
    <col min="2" max="2" width="22.5703125" customWidth="1"/>
    <col min="3" max="3" width="56.42578125" customWidth="1"/>
    <col min="4" max="6" width="16.7109375" customWidth="1"/>
    <col min="7" max="7" width="22.85546875" customWidth="1"/>
    <col min="8" max="8" width="25.28515625" customWidth="1"/>
    <col min="10" max="10" width="3.85546875" customWidth="1"/>
    <col min="44" max="44" width="16.7109375" customWidth="1"/>
  </cols>
  <sheetData>
    <row r="2" spans="1:44" x14ac:dyDescent="0.25">
      <c r="A2" t="s">
        <v>182</v>
      </c>
      <c r="B2" t="s">
        <v>183</v>
      </c>
      <c r="C2" t="s">
        <v>184</v>
      </c>
      <c r="D2" t="s">
        <v>55</v>
      </c>
      <c r="E2" t="s">
        <v>56</v>
      </c>
      <c r="F2" t="s">
        <v>57</v>
      </c>
      <c r="G2" t="s">
        <v>58</v>
      </c>
      <c r="H2" t="s">
        <v>181</v>
      </c>
      <c r="I2" t="s">
        <v>571</v>
      </c>
      <c r="AR2" t="s">
        <v>185</v>
      </c>
    </row>
    <row r="4" spans="1:44" ht="63" customHeight="1" x14ac:dyDescent="0.25">
      <c r="A4">
        <v>4</v>
      </c>
      <c r="B4" s="5" t="s">
        <v>186</v>
      </c>
      <c r="C4" t="str">
        <f t="shared" ref="C4:C16" si="0">CONCATENATE(B4," is a very famous ",AR4," supplier with the famous dish ",D4)</f>
        <v>Le Peep Restaurant is a very famous fusion supplier with the famous dish 123abc</v>
      </c>
      <c r="D4" s="2" t="s">
        <v>576</v>
      </c>
      <c r="E4" t="s">
        <v>574</v>
      </c>
      <c r="F4">
        <v>65</v>
      </c>
      <c r="G4">
        <v>87221272</v>
      </c>
      <c r="H4" s="3" t="s">
        <v>146</v>
      </c>
      <c r="I4" s="9">
        <v>308215</v>
      </c>
      <c r="K4" t="str">
        <f t="shared" ref="K4:K16" si="1">SqlGenerator(A4:I4)</f>
        <v>(4,'Le Peep Restaurant','Le Peep Restaurant is a very famous fusion supplier with the famous dish 123abc','123abc','ongzhikan@gmail.com',65,87221272,'11 Tanjong Rhu Road #18-01 The Waterside',308215),</v>
      </c>
      <c r="AR4" t="s">
        <v>114</v>
      </c>
    </row>
    <row r="5" spans="1:44" ht="73.5" customHeight="1" x14ac:dyDescent="0.25">
      <c r="A5">
        <v>5</v>
      </c>
      <c r="B5" s="5" t="s">
        <v>568</v>
      </c>
      <c r="C5" t="str">
        <f t="shared" si="0"/>
        <v>Mark &amp; Orlandos is a very famous western supplier with the famous dish 123abc</v>
      </c>
      <c r="D5" s="2" t="s">
        <v>576</v>
      </c>
      <c r="E5" t="s">
        <v>575</v>
      </c>
      <c r="F5">
        <v>65</v>
      </c>
      <c r="G5">
        <v>87221272</v>
      </c>
      <c r="H5" s="3" t="s">
        <v>147</v>
      </c>
      <c r="I5" s="9">
        <v>308215</v>
      </c>
      <c r="K5" t="str">
        <f t="shared" si="1"/>
        <v>(5,'Mark &amp; Orlandos','Mark &amp; Orlandos is a very famous western supplier with the famous dish 123abc','123abc','Shuqing316@gmail.com',65,87221272,'No. 29 Woodlands Industrial Park E1 #04-17 Northtech',308215),</v>
      </c>
      <c r="AR5" t="s">
        <v>112</v>
      </c>
    </row>
    <row r="6" spans="1:44" ht="84" customHeight="1" x14ac:dyDescent="0.25">
      <c r="A6">
        <v>6</v>
      </c>
      <c r="B6" s="5" t="s">
        <v>187</v>
      </c>
      <c r="C6" t="str">
        <f t="shared" si="0"/>
        <v>Chinalite is a very famous asian supplier with the famous dish Araucana</v>
      </c>
      <c r="D6" s="2" t="s">
        <v>65</v>
      </c>
      <c r="E6" t="s">
        <v>61</v>
      </c>
      <c r="F6">
        <v>65</v>
      </c>
      <c r="G6">
        <v>87221272</v>
      </c>
      <c r="H6" s="3" t="s">
        <v>148</v>
      </c>
      <c r="I6" s="9">
        <v>308215</v>
      </c>
      <c r="K6" t="str">
        <f t="shared" si="1"/>
        <v>(6,'Chinalite','Chinalite is a very famous asian supplier with the famous dish Araucana','Araucana','Parin1957@armyspy.com',65,87221272,'491B River Valley Road #04-01 Valley Point Office Tower',308215),</v>
      </c>
      <c r="AR6" t="s">
        <v>113</v>
      </c>
    </row>
    <row r="7" spans="1:44" ht="21" customHeight="1" x14ac:dyDescent="0.25">
      <c r="A7">
        <v>7</v>
      </c>
      <c r="B7" s="5" t="s">
        <v>188</v>
      </c>
      <c r="C7" t="str">
        <f t="shared" si="0"/>
        <v>Heritage Society is a very famous vegetable supplier with the famous dish Farellones</v>
      </c>
      <c r="D7" s="2" t="s">
        <v>66</v>
      </c>
      <c r="E7" t="s">
        <v>61</v>
      </c>
      <c r="F7">
        <v>65</v>
      </c>
      <c r="G7">
        <v>87221272</v>
      </c>
      <c r="H7" s="3" t="s">
        <v>149</v>
      </c>
      <c r="I7" s="9">
        <v>308215</v>
      </c>
      <c r="K7" t="str">
        <f t="shared" si="1"/>
        <v>(7,'Heritage Society','Heritage Society is a very famous vegetable supplier with the famous dish Farellones','Farellones','Parin1957@armyspy.com',65,87221272,'55 Hume Avenue #06-09',308215),</v>
      </c>
      <c r="AR7" t="s">
        <v>115</v>
      </c>
    </row>
    <row r="8" spans="1:44" ht="52.5" customHeight="1" x14ac:dyDescent="0.25">
      <c r="A8">
        <v>8</v>
      </c>
      <c r="B8" s="5" t="s">
        <v>189</v>
      </c>
      <c r="C8" t="str">
        <f t="shared" si="0"/>
        <v>Breakers Sports Bar &amp; Grill is a very famous western supplier with the famous dish Apiau</v>
      </c>
      <c r="D8" s="2" t="s">
        <v>67</v>
      </c>
      <c r="E8" t="s">
        <v>61</v>
      </c>
      <c r="F8">
        <v>65</v>
      </c>
      <c r="G8">
        <v>87221272</v>
      </c>
      <c r="H8" s="3" t="s">
        <v>150</v>
      </c>
      <c r="I8" s="9">
        <v>308215</v>
      </c>
      <c r="K8" t="str">
        <f t="shared" si="1"/>
        <v>(8,'Breakers Sports Bar &amp; Grill','Breakers Sports Bar &amp; Grill is a very famous western supplier with the famous dish Apiau','Apiau','Parin1957@armyspy.com',65,87221272,'Blk 2021 Bukit Batok Street 23 #01-226',308215),</v>
      </c>
      <c r="AR8" t="s">
        <v>112</v>
      </c>
    </row>
    <row r="9" spans="1:44" ht="21" x14ac:dyDescent="0.25">
      <c r="A9">
        <v>9</v>
      </c>
      <c r="B9" s="5" t="s">
        <v>190</v>
      </c>
      <c r="C9" t="str">
        <f t="shared" si="0"/>
        <v>Old Timers Restaurant is a very famous western supplier with the famous dish Galvarino</v>
      </c>
      <c r="D9" s="2" t="s">
        <v>68</v>
      </c>
      <c r="E9" t="s">
        <v>61</v>
      </c>
      <c r="F9">
        <v>65</v>
      </c>
      <c r="G9">
        <v>87221272</v>
      </c>
      <c r="H9" s="3" t="s">
        <v>151</v>
      </c>
      <c r="I9" s="9">
        <v>308215</v>
      </c>
      <c r="K9" t="str">
        <f t="shared" si="1"/>
        <v>(9,'Old Timers Restaurant','Old Timers Restaurant is a very famous western supplier with the famous dish Galvarino','Galvarino','Parin1957@armyspy.com',65,87221272,'Block 3005 Ubi Avenue 3 #01-64',308215),</v>
      </c>
      <c r="AR9" t="s">
        <v>112</v>
      </c>
    </row>
    <row r="10" spans="1:44" ht="63" customHeight="1" x14ac:dyDescent="0.25">
      <c r="A10">
        <v>10</v>
      </c>
      <c r="B10" s="5" t="s">
        <v>569</v>
      </c>
      <c r="C10" t="str">
        <f t="shared" si="0"/>
        <v>Enchiladas Restaurant CO is a very famous beverage supplier with the famous dish Caracoles</v>
      </c>
      <c r="D10" s="2" t="s">
        <v>69</v>
      </c>
      <c r="E10" t="s">
        <v>61</v>
      </c>
      <c r="F10">
        <v>65</v>
      </c>
      <c r="G10">
        <v>87221272</v>
      </c>
      <c r="H10" s="3" t="s">
        <v>152</v>
      </c>
      <c r="I10" s="9">
        <v>308215</v>
      </c>
      <c r="K10" t="str">
        <f t="shared" si="1"/>
        <v>(10,'Enchiladas Restaurant CO','Enchiladas Restaurant CO is a very famous beverage supplier with the famous dish Caracoles','Caracoles','Parin1957@armyspy.com',65,87221272,'3018 Bedok Nth St 5 #01-32 Singapore 486132',308215),</v>
      </c>
      <c r="AR10" t="s">
        <v>116</v>
      </c>
    </row>
    <row r="11" spans="1:44" ht="25.5" x14ac:dyDescent="0.25">
      <c r="A11">
        <v>11</v>
      </c>
      <c r="B11" s="5" t="s">
        <v>570</v>
      </c>
      <c r="C11" t="str">
        <f t="shared" si="0"/>
        <v>Charlie Chiangs Asian Bistro is a very famous asian supplier with the famous dish Huilque</v>
      </c>
      <c r="D11" s="2" t="s">
        <v>70</v>
      </c>
      <c r="E11" t="s">
        <v>61</v>
      </c>
      <c r="F11">
        <v>65</v>
      </c>
      <c r="G11">
        <v>87221272</v>
      </c>
      <c r="H11" s="3" t="s">
        <v>153</v>
      </c>
      <c r="I11" s="9">
        <v>308215</v>
      </c>
      <c r="K11" t="str">
        <f t="shared" si="1"/>
        <v>(11,'Charlie Chiangs Asian Bistro','Charlie Chiangs Asian Bistro is a very famous asian supplier with the famous dish Huilque','Huilque','Parin1957@armyspy.com',65,87221272,'Paya Lebar Rd Singapore 1440',308215),</v>
      </c>
      <c r="AR11" t="s">
        <v>113</v>
      </c>
    </row>
    <row r="12" spans="1:44" ht="21" customHeight="1" x14ac:dyDescent="0.25">
      <c r="A12">
        <v>12</v>
      </c>
      <c r="B12" s="5" t="s">
        <v>191</v>
      </c>
      <c r="C12" t="str">
        <f t="shared" si="0"/>
        <v>Main Street Depot is a very famous fusion supplier with the famous dish Matanzas</v>
      </c>
      <c r="D12" s="2" t="s">
        <v>71</v>
      </c>
      <c r="E12" t="s">
        <v>61</v>
      </c>
      <c r="F12">
        <v>65</v>
      </c>
      <c r="G12">
        <v>87221272</v>
      </c>
      <c r="H12" s="3" t="s">
        <v>154</v>
      </c>
      <c r="I12" s="9">
        <v>308215</v>
      </c>
      <c r="K12" t="str">
        <f t="shared" si="1"/>
        <v>(12,'Main Street Depot','Main Street Depot is a very famous fusion supplier with the famous dish Matanzas','Matanzas','Parin1957@armyspy.com',65,87221272,'6 Joo Koon Crescent',308215),</v>
      </c>
      <c r="AR12" t="s">
        <v>114</v>
      </c>
    </row>
    <row r="13" spans="1:44" ht="15.75" x14ac:dyDescent="0.25">
      <c r="A13">
        <v>13</v>
      </c>
      <c r="B13" s="5" t="s">
        <v>192</v>
      </c>
      <c r="C13" t="str">
        <f t="shared" si="0"/>
        <v>Perryville Inn is a very famous western supplier with the famous dish Collaguasi</v>
      </c>
      <c r="D13" s="2" t="s">
        <v>72</v>
      </c>
      <c r="E13" t="s">
        <v>61</v>
      </c>
      <c r="F13">
        <v>65</v>
      </c>
      <c r="G13">
        <v>87221272</v>
      </c>
      <c r="H13" s="3" t="s">
        <v>155</v>
      </c>
      <c r="I13" s="9">
        <v>308215</v>
      </c>
      <c r="K13" t="str">
        <f t="shared" si="1"/>
        <v>(13,'Perryville Inn','Perryville Inn is a very famous western supplier with the famous dish Collaguasi','Collaguasi','Parin1957@armyspy.com',65,87221272,'32 Tuas View Loop',308215),</v>
      </c>
      <c r="AR13" t="s">
        <v>112</v>
      </c>
    </row>
    <row r="14" spans="1:44" ht="42" customHeight="1" x14ac:dyDescent="0.25">
      <c r="A14">
        <v>14</v>
      </c>
      <c r="B14" s="1" t="s">
        <v>11</v>
      </c>
      <c r="C14" t="str">
        <f t="shared" si="0"/>
        <v>Ester C CO is a very famous beverage supplier with the famous dish Chilacaya</v>
      </c>
      <c r="D14" s="2" t="s">
        <v>73</v>
      </c>
      <c r="E14" t="s">
        <v>61</v>
      </c>
      <c r="F14">
        <v>65</v>
      </c>
      <c r="G14">
        <v>87221272</v>
      </c>
      <c r="H14" s="3" t="s">
        <v>156</v>
      </c>
      <c r="I14" s="9">
        <v>308215</v>
      </c>
      <c r="K14" t="str">
        <f t="shared" si="1"/>
        <v>(14,'Ester C CO','Ester C CO is a very famous beverage supplier with the famous dish Chilacaya','Chilacaya','Parin1957@armyspy.com',65,87221272,'3016 Bedok Nth Ave 4 #01-03',308215),</v>
      </c>
      <c r="AR14" t="s">
        <v>116</v>
      </c>
    </row>
    <row r="15" spans="1:44" ht="15.75" x14ac:dyDescent="0.25">
      <c r="A15">
        <v>15</v>
      </c>
      <c r="B15" s="1" t="s">
        <v>12</v>
      </c>
      <c r="C15" t="str">
        <f t="shared" si="0"/>
        <v>Natural Pharmacy is a very famous beverage supplier with the famous dish Loncopahue</v>
      </c>
      <c r="D15" s="2" t="s">
        <v>74</v>
      </c>
      <c r="E15" t="s">
        <v>61</v>
      </c>
      <c r="F15">
        <v>65</v>
      </c>
      <c r="G15">
        <v>87221272</v>
      </c>
      <c r="H15" s="3" t="s">
        <v>157</v>
      </c>
      <c r="I15" s="9">
        <v>308215</v>
      </c>
      <c r="K15" t="str">
        <f t="shared" si="1"/>
        <v>(15,'Natural Pharmacy','Natural Pharmacy is a very famous beverage supplier with the famous dish Loncopahue','Loncopahue','Parin1957@armyspy.com',65,87221272,'15 Pioneer Sector 2',308215),</v>
      </c>
      <c r="AR15" t="s">
        <v>116</v>
      </c>
    </row>
    <row r="16" spans="1:44" ht="42" customHeight="1" x14ac:dyDescent="0.25">
      <c r="A16">
        <v>16</v>
      </c>
      <c r="B16" s="1" t="s">
        <v>13</v>
      </c>
      <c r="C16" t="str">
        <f t="shared" si="0"/>
        <v>NW Core Collection is a very famous western supplier with the famous dish Mocopulle</v>
      </c>
      <c r="D16" s="2" t="s">
        <v>75</v>
      </c>
      <c r="E16" t="s">
        <v>61</v>
      </c>
      <c r="F16">
        <v>65</v>
      </c>
      <c r="G16">
        <v>87221272</v>
      </c>
      <c r="H16" s="3" t="s">
        <v>158</v>
      </c>
      <c r="I16" s="9">
        <v>308215</v>
      </c>
      <c r="K16" t="str">
        <f t="shared" si="1"/>
        <v>(16,'NW Core Collection','NW Core Collection is a very famous western supplier with the famous dish Mocopulle','Mocopulle','Parin1957@armyspy.com',65,87221272,'51 Tuas Ave 1 Singapore 639501 ',308215),</v>
      </c>
      <c r="AR16" t="s">
        <v>112</v>
      </c>
    </row>
    <row r="17" spans="2:8" ht="84" customHeight="1" x14ac:dyDescent="0.25">
      <c r="B17" s="1"/>
      <c r="D17" s="2"/>
      <c r="H17" s="3"/>
    </row>
    <row r="18" spans="2:8" ht="52.5" customHeight="1" x14ac:dyDescent="0.25">
      <c r="B18" s="1"/>
      <c r="D18" s="2"/>
      <c r="H18" s="3"/>
    </row>
    <row r="19" spans="2:8" ht="63" customHeight="1" x14ac:dyDescent="0.25">
      <c r="B19" s="1"/>
      <c r="D19" s="2"/>
      <c r="H19" s="3"/>
    </row>
    <row r="20" spans="2:8" x14ac:dyDescent="0.25">
      <c r="B20" s="1"/>
      <c r="D20" s="2"/>
      <c r="H20" s="3"/>
    </row>
    <row r="21" spans="2:8" x14ac:dyDescent="0.25">
      <c r="B21" s="1"/>
      <c r="D21" s="2"/>
      <c r="H21" s="3"/>
    </row>
    <row r="22" spans="2:8" ht="28.5" customHeight="1" x14ac:dyDescent="0.25">
      <c r="B22" s="1"/>
      <c r="D22" s="2"/>
      <c r="H22" s="3"/>
    </row>
    <row r="23" spans="2:8" x14ac:dyDescent="0.25">
      <c r="B23" s="1"/>
      <c r="D23" s="2"/>
      <c r="H23" s="3"/>
    </row>
    <row r="24" spans="2:8" x14ac:dyDescent="0.25">
      <c r="B24" s="1"/>
      <c r="D24" s="2"/>
      <c r="H24" s="3"/>
    </row>
    <row r="25" spans="2:8" x14ac:dyDescent="0.25">
      <c r="B25" s="1"/>
      <c r="D25" s="2"/>
      <c r="H25" s="3"/>
    </row>
    <row r="26" spans="2:8" ht="42" customHeight="1" x14ac:dyDescent="0.25">
      <c r="B26" s="1"/>
      <c r="D26" s="2"/>
      <c r="H26" s="3"/>
    </row>
    <row r="27" spans="2:8" ht="52.5" customHeight="1" x14ac:dyDescent="0.25">
      <c r="B27" s="1"/>
      <c r="D27" s="2"/>
      <c r="H27" s="3"/>
    </row>
    <row r="28" spans="2:8" ht="84" customHeight="1" x14ac:dyDescent="0.25">
      <c r="B28" s="1"/>
      <c r="D28" s="2"/>
      <c r="H28" s="3"/>
    </row>
    <row r="29" spans="2:8" x14ac:dyDescent="0.25">
      <c r="B29" s="1"/>
      <c r="D29" s="2"/>
      <c r="H29" s="3"/>
    </row>
    <row r="30" spans="2:8" x14ac:dyDescent="0.25">
      <c r="B30" s="1"/>
      <c r="D30" s="2"/>
      <c r="H30" s="3"/>
    </row>
    <row r="31" spans="2:8" x14ac:dyDescent="0.25">
      <c r="B31" s="1"/>
      <c r="D31" s="2"/>
      <c r="H31" s="3"/>
    </row>
    <row r="32" spans="2:8" ht="73.5" customHeight="1" x14ac:dyDescent="0.25">
      <c r="B32" s="1"/>
      <c r="D32" s="2"/>
      <c r="H32" s="3"/>
    </row>
    <row r="33" spans="2:8" x14ac:dyDescent="0.25">
      <c r="B33" s="1"/>
      <c r="D33" s="2"/>
      <c r="H33" s="3"/>
    </row>
    <row r="34" spans="2:8" ht="63" customHeight="1" x14ac:dyDescent="0.25">
      <c r="B34" s="1"/>
      <c r="D34" s="2"/>
      <c r="H34" s="3"/>
    </row>
    <row r="35" spans="2:8" ht="31.5" customHeight="1" x14ac:dyDescent="0.25">
      <c r="B35" s="1"/>
      <c r="D35" s="2"/>
      <c r="H35" s="3"/>
    </row>
    <row r="36" spans="2:8" ht="84" customHeight="1" x14ac:dyDescent="0.25">
      <c r="B36" s="1"/>
      <c r="D36" s="2"/>
      <c r="H36" s="3"/>
    </row>
    <row r="37" spans="2:8" ht="94.5" customHeight="1" x14ac:dyDescent="0.25">
      <c r="B37" s="1"/>
      <c r="D37" s="2"/>
      <c r="H37" s="3"/>
    </row>
    <row r="38" spans="2:8" x14ac:dyDescent="0.25">
      <c r="B38" s="1"/>
      <c r="D38" s="2"/>
      <c r="H38" s="3"/>
    </row>
    <row r="39" spans="2:8" ht="57" customHeight="1" x14ac:dyDescent="0.25">
      <c r="B39" s="1"/>
      <c r="D39" s="2"/>
      <c r="H39" s="3"/>
    </row>
    <row r="40" spans="2:8" ht="42.75" customHeight="1" x14ac:dyDescent="0.25">
      <c r="B40" s="1"/>
      <c r="D40" s="2"/>
      <c r="H40" s="3"/>
    </row>
    <row r="41" spans="2:8" ht="84" customHeight="1" x14ac:dyDescent="0.25">
      <c r="B41" s="1"/>
      <c r="D41" s="2"/>
      <c r="H41" s="3"/>
    </row>
    <row r="42" spans="2:8" ht="52.5" customHeight="1" x14ac:dyDescent="0.25">
      <c r="B42" s="1"/>
      <c r="D42" s="2"/>
      <c r="H42" s="3"/>
    </row>
    <row r="43" spans="2:8" ht="85.5" customHeight="1" x14ac:dyDescent="0.25">
      <c r="B43" s="1"/>
      <c r="D43" s="2"/>
      <c r="H43" s="3"/>
    </row>
    <row r="44" spans="2:8" ht="31.5" customHeight="1" x14ac:dyDescent="0.25">
      <c r="B44" s="1"/>
      <c r="D44" s="2"/>
      <c r="H44" s="3"/>
    </row>
    <row r="45" spans="2:8" ht="57" customHeight="1" x14ac:dyDescent="0.25">
      <c r="B45" s="1"/>
      <c r="D45" s="2"/>
      <c r="H45" s="3"/>
    </row>
    <row r="46" spans="2:8" ht="63" customHeight="1" x14ac:dyDescent="0.25">
      <c r="B46" s="1"/>
      <c r="D46" s="2"/>
      <c r="H46" s="3"/>
    </row>
    <row r="47" spans="2:8" ht="85.5" customHeight="1" x14ac:dyDescent="0.25">
      <c r="B47" s="1"/>
      <c r="D47" s="2"/>
      <c r="H47" s="3"/>
    </row>
    <row r="48" spans="2:8" ht="57" customHeight="1" x14ac:dyDescent="0.25">
      <c r="B48" s="1"/>
      <c r="D48" s="2"/>
      <c r="H48" s="3"/>
    </row>
    <row r="49" spans="2:8" ht="71.25" customHeight="1" x14ac:dyDescent="0.25">
      <c r="B49" s="1"/>
      <c r="D49" s="2"/>
      <c r="H49" s="3"/>
    </row>
    <row r="50" spans="2:8" ht="42" customHeight="1" x14ac:dyDescent="0.25">
      <c r="B50" s="1"/>
      <c r="D50" s="2"/>
      <c r="H50" s="3"/>
    </row>
    <row r="51" spans="2:8" ht="57" customHeight="1" x14ac:dyDescent="0.25">
      <c r="B51" s="1"/>
      <c r="D51" s="2"/>
      <c r="H51" s="3"/>
    </row>
    <row r="52" spans="2:8" ht="85.5" customHeight="1" x14ac:dyDescent="0.25">
      <c r="B52" s="1"/>
      <c r="D52" s="2"/>
      <c r="H52" s="3"/>
    </row>
    <row r="53" spans="2:8" ht="42.75" customHeight="1" x14ac:dyDescent="0.25">
      <c r="B53" s="1"/>
      <c r="D53" s="2"/>
      <c r="H53" s="3"/>
    </row>
    <row r="54" spans="2:8" ht="71.25" customHeight="1" x14ac:dyDescent="0.25">
      <c r="B54" s="1"/>
      <c r="D54" s="2"/>
      <c r="H54" s="3"/>
    </row>
    <row r="55" spans="2:8" ht="42.75" customHeight="1" x14ac:dyDescent="0.25">
      <c r="B55" s="1"/>
      <c r="D55" s="2"/>
      <c r="H55" s="3"/>
    </row>
    <row r="56" spans="2:8" x14ac:dyDescent="0.25">
      <c r="B56" s="1"/>
      <c r="D56" s="2"/>
      <c r="H56" s="3"/>
    </row>
    <row r="57" spans="2:8" ht="52.5" customHeight="1" x14ac:dyDescent="0.25">
      <c r="B57" s="1"/>
      <c r="D57" s="2"/>
      <c r="H57" s="3"/>
    </row>
    <row r="58" spans="2:8" ht="63" customHeight="1" x14ac:dyDescent="0.25">
      <c r="B58" s="1"/>
      <c r="D58" s="2"/>
      <c r="H58" s="3"/>
    </row>
    <row r="59" spans="2:8" ht="31.5" customHeight="1" x14ac:dyDescent="0.25">
      <c r="B59" s="1"/>
      <c r="D59" s="2"/>
      <c r="H59" s="3"/>
    </row>
    <row r="60" spans="2:8" ht="84" customHeight="1" x14ac:dyDescent="0.25">
      <c r="B60" s="1"/>
      <c r="D60" s="2"/>
      <c r="H60" s="3"/>
    </row>
    <row r="61" spans="2:8" ht="94.5" customHeight="1" x14ac:dyDescent="0.25">
      <c r="B61" s="1"/>
      <c r="D61" s="2"/>
      <c r="H61" s="3"/>
    </row>
    <row r="62" spans="2:8" ht="42" customHeight="1" x14ac:dyDescent="0.25">
      <c r="B62" s="1"/>
      <c r="D62" s="2"/>
      <c r="H62" s="3"/>
    </row>
    <row r="63" spans="2:8" x14ac:dyDescent="0.25">
      <c r="H63" s="3"/>
    </row>
    <row r="64" spans="2:8" ht="37.5" customHeight="1" x14ac:dyDescent="0.25">
      <c r="H64" s="10"/>
    </row>
    <row r="65" spans="8:8" x14ac:dyDescent="0.25">
      <c r="H65" s="10"/>
    </row>
    <row r="66" spans="8:8" ht="73.5" customHeight="1" x14ac:dyDescent="0.25">
      <c r="H66" s="3"/>
    </row>
    <row r="67" spans="8:8" x14ac:dyDescent="0.25">
      <c r="H67" s="3"/>
    </row>
    <row r="68" spans="8:8" ht="63" customHeight="1" x14ac:dyDescent="0.25">
      <c r="H68" s="3"/>
    </row>
    <row r="69" spans="8:8" ht="73.5" customHeight="1" x14ac:dyDescent="0.25">
      <c r="H69" s="3"/>
    </row>
    <row r="70" spans="8:8" x14ac:dyDescent="0.25">
      <c r="H70" s="3"/>
    </row>
    <row r="71" spans="8:8" x14ac:dyDescent="0.25">
      <c r="H71" s="3"/>
    </row>
    <row r="72" spans="8:8" x14ac:dyDescent="0.25">
      <c r="H72" s="3"/>
    </row>
    <row r="73" spans="8:8" x14ac:dyDescent="0.25">
      <c r="H73" s="3"/>
    </row>
    <row r="74" spans="8:8" ht="63" customHeight="1" x14ac:dyDescent="0.25">
      <c r="H74" s="3"/>
    </row>
    <row r="75" spans="8:8" x14ac:dyDescent="0.25">
      <c r="H75" s="3"/>
    </row>
    <row r="76" spans="8:8" x14ac:dyDescent="0.25">
      <c r="H76" s="3"/>
    </row>
    <row r="77" spans="8:8" ht="52.5" customHeight="1" x14ac:dyDescent="0.25">
      <c r="H77" s="3"/>
    </row>
    <row r="78" spans="8:8" x14ac:dyDescent="0.25">
      <c r="H78" s="3"/>
    </row>
    <row r="79" spans="8:8" ht="42" customHeight="1" x14ac:dyDescent="0.25">
      <c r="H79" s="3"/>
    </row>
  </sheetData>
  <mergeCells count="1">
    <mergeCell ref="H64:H6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11"/>
  <sheetViews>
    <sheetView workbookViewId="0">
      <selection activeCell="F8" sqref="F8"/>
    </sheetView>
  </sheetViews>
  <sheetFormatPr defaultRowHeight="15" x14ac:dyDescent="0.25"/>
  <cols>
    <col min="1" max="1" width="17.42578125" customWidth="1"/>
    <col min="2" max="5" width="14.42578125" customWidth="1"/>
    <col min="6" max="6" width="35.140625" customWidth="1"/>
  </cols>
  <sheetData>
    <row r="1" spans="1:5" x14ac:dyDescent="0.25">
      <c r="A1" t="s">
        <v>112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25">
      <c r="A2" t="s">
        <v>253</v>
      </c>
      <c r="B2" t="s">
        <v>251</v>
      </c>
      <c r="C2" t="s">
        <v>254</v>
      </c>
      <c r="D2" t="s">
        <v>255</v>
      </c>
      <c r="E2" t="s">
        <v>256</v>
      </c>
    </row>
    <row r="3" spans="1:5" x14ac:dyDescent="0.25">
      <c r="A3" t="s">
        <v>257</v>
      </c>
      <c r="B3" t="s">
        <v>252</v>
      </c>
      <c r="C3" t="s">
        <v>258</v>
      </c>
      <c r="D3" t="s">
        <v>242</v>
      </c>
      <c r="E3" t="s">
        <v>259</v>
      </c>
    </row>
    <row r="4" spans="1:5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</row>
    <row r="5" spans="1:5" x14ac:dyDescent="0.25">
      <c r="A5" t="s">
        <v>265</v>
      </c>
      <c r="B5" t="s">
        <v>266</v>
      </c>
      <c r="C5" t="s">
        <v>267</v>
      </c>
      <c r="D5" t="s">
        <v>268</v>
      </c>
      <c r="E5" t="s">
        <v>269</v>
      </c>
    </row>
    <row r="6" spans="1:5" x14ac:dyDescent="0.25">
      <c r="A6" t="s">
        <v>219</v>
      </c>
      <c r="B6" t="s">
        <v>270</v>
      </c>
      <c r="C6" t="s">
        <v>271</v>
      </c>
      <c r="D6" t="s">
        <v>272</v>
      </c>
      <c r="E6" t="s">
        <v>273</v>
      </c>
    </row>
    <row r="7" spans="1:5" x14ac:dyDescent="0.25">
      <c r="A7" t="s">
        <v>220</v>
      </c>
      <c r="B7" t="s">
        <v>274</v>
      </c>
      <c r="C7" t="s">
        <v>275</v>
      </c>
      <c r="D7" t="s">
        <v>276</v>
      </c>
      <c r="E7" t="s">
        <v>277</v>
      </c>
    </row>
    <row r="8" spans="1:5" x14ac:dyDescent="0.25">
      <c r="A8" t="s">
        <v>221</v>
      </c>
      <c r="B8" t="s">
        <v>278</v>
      </c>
      <c r="C8" t="s">
        <v>223</v>
      </c>
      <c r="D8" t="s">
        <v>231</v>
      </c>
      <c r="E8" t="s">
        <v>279</v>
      </c>
    </row>
    <row r="9" spans="1:5" x14ac:dyDescent="0.25">
      <c r="A9" t="s">
        <v>222</v>
      </c>
      <c r="B9" t="s">
        <v>210</v>
      </c>
      <c r="C9" t="s">
        <v>225</v>
      </c>
      <c r="D9" t="s">
        <v>280</v>
      </c>
      <c r="E9" t="s">
        <v>246</v>
      </c>
    </row>
    <row r="10" spans="1:5" x14ac:dyDescent="0.25">
      <c r="A10" t="s">
        <v>239</v>
      </c>
      <c r="B10" t="s">
        <v>211</v>
      </c>
      <c r="C10" t="s">
        <v>226</v>
      </c>
      <c r="D10" t="s">
        <v>281</v>
      </c>
      <c r="E10" t="s">
        <v>282</v>
      </c>
    </row>
    <row r="11" spans="1:5" x14ac:dyDescent="0.25">
      <c r="A11" t="s">
        <v>234</v>
      </c>
      <c r="B11" t="s">
        <v>212</v>
      </c>
      <c r="C11" t="s">
        <v>227</v>
      </c>
      <c r="D11" t="s">
        <v>238</v>
      </c>
      <c r="E11" t="s">
        <v>283</v>
      </c>
    </row>
    <row r="12" spans="1:5" x14ac:dyDescent="0.25">
      <c r="A12" t="s">
        <v>235</v>
      </c>
      <c r="B12" t="s">
        <v>213</v>
      </c>
      <c r="C12" t="s">
        <v>228</v>
      </c>
      <c r="D12" t="s">
        <v>284</v>
      </c>
      <c r="E12" t="s">
        <v>209</v>
      </c>
    </row>
    <row r="13" spans="1:5" x14ac:dyDescent="0.25">
      <c r="A13" t="s">
        <v>236</v>
      </c>
      <c r="B13" t="s">
        <v>214</v>
      </c>
      <c r="C13" t="s">
        <v>229</v>
      </c>
      <c r="D13" t="s">
        <v>285</v>
      </c>
      <c r="E13" t="s">
        <v>286</v>
      </c>
    </row>
    <row r="14" spans="1:5" x14ac:dyDescent="0.25">
      <c r="A14" t="s">
        <v>243</v>
      </c>
      <c r="B14" t="s">
        <v>215</v>
      </c>
      <c r="C14" t="s">
        <v>230</v>
      </c>
      <c r="D14" t="s">
        <v>287</v>
      </c>
      <c r="E14" t="s">
        <v>288</v>
      </c>
    </row>
    <row r="15" spans="1:5" x14ac:dyDescent="0.25">
      <c r="A15" t="s">
        <v>244</v>
      </c>
      <c r="B15" t="s">
        <v>216</v>
      </c>
      <c r="C15" t="s">
        <v>247</v>
      </c>
      <c r="D15" t="s">
        <v>289</v>
      </c>
      <c r="E15" t="s">
        <v>290</v>
      </c>
    </row>
    <row r="16" spans="1:5" x14ac:dyDescent="0.25">
      <c r="A16" t="s">
        <v>245</v>
      </c>
      <c r="B16" t="s">
        <v>217</v>
      </c>
      <c r="C16" t="s">
        <v>248</v>
      </c>
      <c r="D16" t="s">
        <v>291</v>
      </c>
      <c r="E16" t="s">
        <v>292</v>
      </c>
    </row>
    <row r="17" spans="1:6" x14ac:dyDescent="0.25">
      <c r="A17" t="s">
        <v>233</v>
      </c>
      <c r="B17" t="s">
        <v>218</v>
      </c>
      <c r="C17" t="s">
        <v>249</v>
      </c>
      <c r="D17" t="s">
        <v>293</v>
      </c>
      <c r="E17" t="s">
        <v>242</v>
      </c>
    </row>
    <row r="18" spans="1:6" x14ac:dyDescent="0.25">
      <c r="A18" t="s">
        <v>241</v>
      </c>
      <c r="B18" t="s">
        <v>240</v>
      </c>
      <c r="C18" t="s">
        <v>250</v>
      </c>
      <c r="D18" t="s">
        <v>294</v>
      </c>
      <c r="E18" t="s">
        <v>237</v>
      </c>
    </row>
    <row r="20" spans="1:6" x14ac:dyDescent="0.25">
      <c r="C20" t="s">
        <v>204</v>
      </c>
      <c r="D20" t="s">
        <v>205</v>
      </c>
    </row>
    <row r="21" spans="1:6" x14ac:dyDescent="0.25">
      <c r="A21" t="s">
        <v>253</v>
      </c>
      <c r="B21" t="s">
        <v>200</v>
      </c>
      <c r="C21">
        <v>5</v>
      </c>
      <c r="D21">
        <f ca="1">RANDBETWEEN(0,9)</f>
        <v>0</v>
      </c>
      <c r="E21">
        <f ca="1">C21+D21/10</f>
        <v>5</v>
      </c>
      <c r="F21">
        <v>5.0999999999999996</v>
      </c>
    </row>
    <row r="22" spans="1:6" x14ac:dyDescent="0.25">
      <c r="A22" t="s">
        <v>257</v>
      </c>
      <c r="B22" t="s">
        <v>200</v>
      </c>
      <c r="C22">
        <v>2</v>
      </c>
      <c r="D22">
        <f t="shared" ref="D22:D85" ca="1" si="0">RANDBETWEEN(0,9)</f>
        <v>9</v>
      </c>
      <c r="E22">
        <f ca="1">C22+D22/10</f>
        <v>2.9</v>
      </c>
      <c r="F22">
        <v>2.2000000000000002</v>
      </c>
    </row>
    <row r="23" spans="1:6" x14ac:dyDescent="0.25">
      <c r="A23" t="s">
        <v>260</v>
      </c>
      <c r="B23" t="s">
        <v>202</v>
      </c>
      <c r="C23">
        <v>1</v>
      </c>
      <c r="D23">
        <f t="shared" ca="1" si="0"/>
        <v>4</v>
      </c>
      <c r="E23">
        <f t="shared" ref="E23:E69" ca="1" si="1">C23+D23/10</f>
        <v>1.4</v>
      </c>
      <c r="F23">
        <v>1.5</v>
      </c>
    </row>
    <row r="24" spans="1:6" x14ac:dyDescent="0.25">
      <c r="A24" t="s">
        <v>265</v>
      </c>
      <c r="B24" t="s">
        <v>202</v>
      </c>
      <c r="C24">
        <v>4</v>
      </c>
      <c r="D24">
        <f t="shared" ca="1" si="0"/>
        <v>9</v>
      </c>
      <c r="E24">
        <f t="shared" ca="1" si="1"/>
        <v>4.9000000000000004</v>
      </c>
      <c r="F24">
        <v>4.5</v>
      </c>
    </row>
    <row r="25" spans="1:6" x14ac:dyDescent="0.25">
      <c r="A25" t="s">
        <v>251</v>
      </c>
      <c r="B25" t="s">
        <v>201</v>
      </c>
      <c r="C25">
        <v>10</v>
      </c>
      <c r="D25">
        <f t="shared" ca="1" si="0"/>
        <v>4</v>
      </c>
      <c r="E25">
        <f t="shared" ca="1" si="1"/>
        <v>10.4</v>
      </c>
      <c r="F25">
        <v>10.8</v>
      </c>
    </row>
    <row r="26" spans="1:6" x14ac:dyDescent="0.25">
      <c r="A26" t="s">
        <v>252</v>
      </c>
      <c r="B26" t="s">
        <v>200</v>
      </c>
      <c r="C26">
        <v>4</v>
      </c>
      <c r="D26">
        <f t="shared" ca="1" si="0"/>
        <v>8</v>
      </c>
      <c r="E26">
        <f t="shared" ca="1" si="1"/>
        <v>4.8</v>
      </c>
      <c r="F26">
        <v>4.4000000000000004</v>
      </c>
    </row>
    <row r="27" spans="1:6" x14ac:dyDescent="0.25">
      <c r="A27" t="s">
        <v>261</v>
      </c>
      <c r="B27" t="s">
        <v>203</v>
      </c>
      <c r="C27">
        <v>5</v>
      </c>
      <c r="D27">
        <f t="shared" ca="1" si="0"/>
        <v>5</v>
      </c>
      <c r="E27">
        <f t="shared" ca="1" si="1"/>
        <v>5.5</v>
      </c>
      <c r="F27">
        <v>5.9</v>
      </c>
    </row>
    <row r="28" spans="1:6" x14ac:dyDescent="0.25">
      <c r="A28" t="s">
        <v>266</v>
      </c>
      <c r="B28" t="s">
        <v>200</v>
      </c>
      <c r="C28">
        <v>2</v>
      </c>
      <c r="D28">
        <f t="shared" ca="1" si="0"/>
        <v>0</v>
      </c>
      <c r="E28">
        <f t="shared" ca="1" si="1"/>
        <v>2</v>
      </c>
      <c r="F28">
        <v>2.1</v>
      </c>
    </row>
    <row r="29" spans="1:6" x14ac:dyDescent="0.25">
      <c r="A29" t="s">
        <v>270</v>
      </c>
      <c r="B29" t="s">
        <v>202</v>
      </c>
      <c r="C29">
        <v>5</v>
      </c>
      <c r="D29">
        <f t="shared" ca="1" si="0"/>
        <v>3</v>
      </c>
      <c r="E29">
        <f t="shared" ca="1" si="1"/>
        <v>5.3</v>
      </c>
      <c r="F29">
        <v>5.8</v>
      </c>
    </row>
    <row r="30" spans="1:6" x14ac:dyDescent="0.25">
      <c r="A30" t="s">
        <v>274</v>
      </c>
      <c r="B30" t="s">
        <v>200</v>
      </c>
      <c r="C30">
        <v>2</v>
      </c>
      <c r="D30">
        <f t="shared" ca="1" si="0"/>
        <v>7</v>
      </c>
      <c r="E30">
        <f t="shared" ca="1" si="1"/>
        <v>2.7</v>
      </c>
      <c r="F30">
        <v>2.4</v>
      </c>
    </row>
    <row r="31" spans="1:6" x14ac:dyDescent="0.25">
      <c r="A31" t="s">
        <v>278</v>
      </c>
      <c r="B31" t="s">
        <v>202</v>
      </c>
      <c r="C31">
        <v>5</v>
      </c>
      <c r="D31">
        <f t="shared" ca="1" si="0"/>
        <v>5</v>
      </c>
      <c r="E31">
        <f t="shared" ca="1" si="1"/>
        <v>5.5</v>
      </c>
      <c r="F31">
        <v>5.2</v>
      </c>
    </row>
    <row r="32" spans="1:6" x14ac:dyDescent="0.25">
      <c r="A32" t="s">
        <v>254</v>
      </c>
      <c r="B32" t="s">
        <v>201</v>
      </c>
      <c r="C32">
        <v>1</v>
      </c>
      <c r="D32">
        <f t="shared" ca="1" si="0"/>
        <v>4</v>
      </c>
      <c r="E32">
        <f t="shared" ca="1" si="1"/>
        <v>1.4</v>
      </c>
      <c r="F32">
        <v>1.2</v>
      </c>
    </row>
    <row r="33" spans="1:6" x14ac:dyDescent="0.25">
      <c r="A33" t="s">
        <v>258</v>
      </c>
      <c r="B33" t="s">
        <v>201</v>
      </c>
      <c r="C33">
        <v>2</v>
      </c>
      <c r="D33">
        <f t="shared" ca="1" si="0"/>
        <v>7</v>
      </c>
      <c r="E33">
        <f t="shared" ca="1" si="1"/>
        <v>2.7</v>
      </c>
      <c r="F33">
        <v>2.2000000000000002</v>
      </c>
    </row>
    <row r="34" spans="1:6" x14ac:dyDescent="0.25">
      <c r="A34" t="s">
        <v>262</v>
      </c>
      <c r="B34" t="s">
        <v>201</v>
      </c>
      <c r="C34">
        <v>1</v>
      </c>
      <c r="D34">
        <f t="shared" ca="1" si="0"/>
        <v>6</v>
      </c>
      <c r="E34">
        <f t="shared" ca="1" si="1"/>
        <v>1.6</v>
      </c>
      <c r="F34">
        <v>1.7</v>
      </c>
    </row>
    <row r="35" spans="1:6" x14ac:dyDescent="0.25">
      <c r="A35" t="s">
        <v>267</v>
      </c>
      <c r="B35" t="s">
        <v>201</v>
      </c>
      <c r="C35">
        <v>3</v>
      </c>
      <c r="D35">
        <f t="shared" ca="1" si="0"/>
        <v>1</v>
      </c>
      <c r="E35">
        <f t="shared" ca="1" si="1"/>
        <v>3.1</v>
      </c>
      <c r="F35">
        <v>3.1</v>
      </c>
    </row>
    <row r="36" spans="1:6" x14ac:dyDescent="0.25">
      <c r="A36" t="s">
        <v>271</v>
      </c>
      <c r="B36" t="s">
        <v>201</v>
      </c>
      <c r="C36">
        <v>2</v>
      </c>
      <c r="D36">
        <f t="shared" ca="1" si="0"/>
        <v>2</v>
      </c>
      <c r="E36">
        <f t="shared" ca="1" si="1"/>
        <v>2.2000000000000002</v>
      </c>
      <c r="F36">
        <v>2.2000000000000002</v>
      </c>
    </row>
    <row r="37" spans="1:6" x14ac:dyDescent="0.25">
      <c r="A37" t="s">
        <v>275</v>
      </c>
      <c r="B37" t="s">
        <v>201</v>
      </c>
      <c r="C37">
        <v>1</v>
      </c>
      <c r="D37">
        <f t="shared" ca="1" si="0"/>
        <v>6</v>
      </c>
      <c r="E37">
        <f t="shared" ca="1" si="1"/>
        <v>1.6</v>
      </c>
      <c r="F37">
        <v>1.4</v>
      </c>
    </row>
    <row r="38" spans="1:6" x14ac:dyDescent="0.25">
      <c r="A38" t="s">
        <v>255</v>
      </c>
      <c r="B38" t="s">
        <v>200</v>
      </c>
      <c r="C38">
        <v>4</v>
      </c>
      <c r="D38">
        <f t="shared" ca="1" si="0"/>
        <v>8</v>
      </c>
      <c r="E38">
        <f t="shared" ca="1" si="1"/>
        <v>4.8</v>
      </c>
      <c r="F38">
        <v>4.0999999999999996</v>
      </c>
    </row>
    <row r="39" spans="1:6" x14ac:dyDescent="0.25">
      <c r="A39" t="s">
        <v>242</v>
      </c>
      <c r="B39" t="s">
        <v>200</v>
      </c>
      <c r="C39">
        <v>2</v>
      </c>
      <c r="D39">
        <f t="shared" ca="1" si="0"/>
        <v>8</v>
      </c>
      <c r="E39">
        <f t="shared" ca="1" si="1"/>
        <v>2.8</v>
      </c>
      <c r="F39">
        <v>2.5</v>
      </c>
    </row>
    <row r="40" spans="1:6" x14ac:dyDescent="0.25">
      <c r="A40" t="s">
        <v>263</v>
      </c>
      <c r="B40" t="s">
        <v>201</v>
      </c>
      <c r="C40">
        <v>5</v>
      </c>
      <c r="D40">
        <f t="shared" ca="1" si="0"/>
        <v>6</v>
      </c>
      <c r="E40">
        <f t="shared" ca="1" si="1"/>
        <v>5.6</v>
      </c>
      <c r="F40">
        <v>5.9</v>
      </c>
    </row>
    <row r="41" spans="1:6" x14ac:dyDescent="0.25">
      <c r="A41" t="s">
        <v>268</v>
      </c>
      <c r="B41" t="s">
        <v>200</v>
      </c>
      <c r="C41">
        <v>3</v>
      </c>
      <c r="D41">
        <f t="shared" ca="1" si="0"/>
        <v>0</v>
      </c>
      <c r="E41">
        <f t="shared" ca="1" si="1"/>
        <v>3</v>
      </c>
      <c r="F41">
        <v>3.2</v>
      </c>
    </row>
    <row r="42" spans="1:6" x14ac:dyDescent="0.25">
      <c r="A42" t="s">
        <v>272</v>
      </c>
      <c r="B42" t="s">
        <v>200</v>
      </c>
      <c r="C42">
        <v>3</v>
      </c>
      <c r="D42">
        <f t="shared" ca="1" si="0"/>
        <v>4</v>
      </c>
      <c r="E42">
        <f t="shared" ca="1" si="1"/>
        <v>3.4</v>
      </c>
      <c r="F42">
        <v>3.4</v>
      </c>
    </row>
    <row r="43" spans="1:6" x14ac:dyDescent="0.25">
      <c r="A43" t="s">
        <v>276</v>
      </c>
      <c r="B43" t="s">
        <v>200</v>
      </c>
      <c r="C43">
        <v>3</v>
      </c>
      <c r="D43">
        <f t="shared" ca="1" si="0"/>
        <v>3</v>
      </c>
      <c r="E43">
        <f t="shared" ca="1" si="1"/>
        <v>3.3</v>
      </c>
      <c r="F43">
        <v>3.7</v>
      </c>
    </row>
    <row r="44" spans="1:6" x14ac:dyDescent="0.25">
      <c r="A44" t="s">
        <v>231</v>
      </c>
      <c r="B44" t="s">
        <v>200</v>
      </c>
      <c r="C44">
        <v>3</v>
      </c>
      <c r="D44">
        <f t="shared" ca="1" si="0"/>
        <v>8</v>
      </c>
      <c r="E44">
        <f t="shared" ca="1" si="1"/>
        <v>3.8</v>
      </c>
      <c r="F44">
        <v>3.4</v>
      </c>
    </row>
    <row r="45" spans="1:6" x14ac:dyDescent="0.25">
      <c r="A45" t="s">
        <v>280</v>
      </c>
      <c r="B45" t="s">
        <v>200</v>
      </c>
      <c r="C45">
        <v>3</v>
      </c>
      <c r="D45">
        <f t="shared" ca="1" si="0"/>
        <v>0</v>
      </c>
      <c r="E45">
        <f t="shared" ca="1" si="1"/>
        <v>3</v>
      </c>
      <c r="F45">
        <v>3.9</v>
      </c>
    </row>
    <row r="46" spans="1:6" x14ac:dyDescent="0.25">
      <c r="A46" t="s">
        <v>281</v>
      </c>
      <c r="B46" t="s">
        <v>200</v>
      </c>
      <c r="C46">
        <v>3</v>
      </c>
      <c r="D46">
        <f t="shared" ca="1" si="0"/>
        <v>6</v>
      </c>
      <c r="E46">
        <f t="shared" ca="1" si="1"/>
        <v>3.6</v>
      </c>
      <c r="F46">
        <v>3.6</v>
      </c>
    </row>
    <row r="47" spans="1:6" x14ac:dyDescent="0.25">
      <c r="A47" t="s">
        <v>238</v>
      </c>
      <c r="B47" t="s">
        <v>200</v>
      </c>
      <c r="C47">
        <v>2</v>
      </c>
      <c r="D47">
        <f t="shared" ca="1" si="0"/>
        <v>7</v>
      </c>
      <c r="E47">
        <f t="shared" ca="1" si="1"/>
        <v>2.7</v>
      </c>
      <c r="F47">
        <v>2.1</v>
      </c>
    </row>
    <row r="48" spans="1:6" x14ac:dyDescent="0.25">
      <c r="A48" t="s">
        <v>284</v>
      </c>
      <c r="B48" t="s">
        <v>200</v>
      </c>
      <c r="C48">
        <v>3</v>
      </c>
      <c r="D48">
        <f t="shared" ca="1" si="0"/>
        <v>6</v>
      </c>
      <c r="E48">
        <f t="shared" ca="1" si="1"/>
        <v>3.6</v>
      </c>
      <c r="F48">
        <v>3.7</v>
      </c>
    </row>
    <row r="49" spans="1:6" x14ac:dyDescent="0.25">
      <c r="A49" t="s">
        <v>285</v>
      </c>
      <c r="B49" t="s">
        <v>200</v>
      </c>
      <c r="C49">
        <v>1</v>
      </c>
      <c r="D49">
        <f t="shared" ca="1" si="0"/>
        <v>5</v>
      </c>
      <c r="E49">
        <f t="shared" ca="1" si="1"/>
        <v>1.5</v>
      </c>
      <c r="F49">
        <v>1.8</v>
      </c>
    </row>
    <row r="50" spans="1:6" x14ac:dyDescent="0.25">
      <c r="A50" t="s">
        <v>287</v>
      </c>
      <c r="B50" t="s">
        <v>200</v>
      </c>
      <c r="C50">
        <v>2</v>
      </c>
      <c r="D50">
        <f t="shared" ca="1" si="0"/>
        <v>8</v>
      </c>
      <c r="E50">
        <f t="shared" ca="1" si="1"/>
        <v>2.8</v>
      </c>
      <c r="F50">
        <v>2</v>
      </c>
    </row>
    <row r="51" spans="1:6" x14ac:dyDescent="0.25">
      <c r="A51" t="s">
        <v>289</v>
      </c>
      <c r="B51" t="s">
        <v>200</v>
      </c>
      <c r="C51">
        <v>2</v>
      </c>
      <c r="D51">
        <f t="shared" ca="1" si="0"/>
        <v>3</v>
      </c>
      <c r="E51">
        <f t="shared" ca="1" si="1"/>
        <v>2.2999999999999998</v>
      </c>
      <c r="F51">
        <v>2.7</v>
      </c>
    </row>
    <row r="52" spans="1:6" x14ac:dyDescent="0.25">
      <c r="A52" t="s">
        <v>293</v>
      </c>
      <c r="B52" t="s">
        <v>200</v>
      </c>
      <c r="C52">
        <v>2</v>
      </c>
      <c r="D52">
        <f t="shared" ca="1" si="0"/>
        <v>3</v>
      </c>
      <c r="E52">
        <f t="shared" ca="1" si="1"/>
        <v>2.2999999999999998</v>
      </c>
      <c r="F52">
        <v>2.4</v>
      </c>
    </row>
    <row r="53" spans="1:6" x14ac:dyDescent="0.25">
      <c r="A53" t="s">
        <v>259</v>
      </c>
      <c r="B53" t="s">
        <v>200</v>
      </c>
      <c r="C53">
        <v>5</v>
      </c>
      <c r="D53">
        <f t="shared" ca="1" si="0"/>
        <v>0</v>
      </c>
      <c r="E53">
        <f t="shared" ca="1" si="1"/>
        <v>5</v>
      </c>
      <c r="F53">
        <v>5.0999999999999996</v>
      </c>
    </row>
    <row r="54" spans="1:6" x14ac:dyDescent="0.25">
      <c r="A54" t="s">
        <v>264</v>
      </c>
      <c r="B54" t="s">
        <v>200</v>
      </c>
      <c r="C54">
        <v>3</v>
      </c>
      <c r="D54">
        <f t="shared" ca="1" si="0"/>
        <v>4</v>
      </c>
      <c r="E54">
        <f t="shared" ca="1" si="1"/>
        <v>3.4</v>
      </c>
      <c r="F54">
        <v>3.4</v>
      </c>
    </row>
    <row r="55" spans="1:6" x14ac:dyDescent="0.25">
      <c r="A55" t="s">
        <v>269</v>
      </c>
      <c r="B55" t="s">
        <v>200</v>
      </c>
      <c r="C55">
        <v>3</v>
      </c>
      <c r="D55">
        <f t="shared" ca="1" si="0"/>
        <v>5</v>
      </c>
      <c r="E55">
        <f t="shared" ca="1" si="1"/>
        <v>3.5</v>
      </c>
      <c r="F55">
        <v>3.1</v>
      </c>
    </row>
    <row r="56" spans="1:6" x14ac:dyDescent="0.25">
      <c r="A56" t="s">
        <v>273</v>
      </c>
      <c r="B56" t="s">
        <v>201</v>
      </c>
      <c r="C56">
        <v>5</v>
      </c>
      <c r="D56">
        <f t="shared" ca="1" si="0"/>
        <v>6</v>
      </c>
      <c r="E56">
        <f t="shared" ca="1" si="1"/>
        <v>5.6</v>
      </c>
      <c r="F56">
        <v>5.6</v>
      </c>
    </row>
    <row r="57" spans="1:6" x14ac:dyDescent="0.25">
      <c r="A57" t="s">
        <v>291</v>
      </c>
      <c r="B57" t="s">
        <v>200</v>
      </c>
      <c r="C57">
        <v>1</v>
      </c>
      <c r="D57">
        <f t="shared" ca="1" si="0"/>
        <v>2</v>
      </c>
      <c r="E57">
        <f t="shared" ca="1" si="1"/>
        <v>1.2</v>
      </c>
      <c r="F57">
        <v>1.6</v>
      </c>
    </row>
    <row r="58" spans="1:6" x14ac:dyDescent="0.25">
      <c r="A58" t="s">
        <v>279</v>
      </c>
      <c r="B58" t="s">
        <v>201</v>
      </c>
      <c r="C58">
        <v>1</v>
      </c>
      <c r="D58">
        <f t="shared" ca="1" si="0"/>
        <v>2</v>
      </c>
      <c r="E58">
        <f t="shared" ca="1" si="1"/>
        <v>1.2</v>
      </c>
      <c r="F58">
        <v>1.4</v>
      </c>
    </row>
    <row r="59" spans="1:6" x14ac:dyDescent="0.25">
      <c r="A59" t="s">
        <v>246</v>
      </c>
      <c r="B59" t="s">
        <v>203</v>
      </c>
      <c r="C59">
        <v>8</v>
      </c>
      <c r="D59">
        <f t="shared" ca="1" si="0"/>
        <v>3</v>
      </c>
      <c r="E59">
        <f t="shared" ca="1" si="1"/>
        <v>8.3000000000000007</v>
      </c>
      <c r="F59">
        <v>8.9</v>
      </c>
    </row>
    <row r="60" spans="1:6" x14ac:dyDescent="0.25">
      <c r="A60" t="s">
        <v>282</v>
      </c>
      <c r="B60" t="s">
        <v>201</v>
      </c>
      <c r="C60">
        <v>1</v>
      </c>
      <c r="D60">
        <f t="shared" ca="1" si="0"/>
        <v>4</v>
      </c>
      <c r="E60">
        <f t="shared" ca="1" si="1"/>
        <v>1.4</v>
      </c>
      <c r="F60">
        <v>1.1000000000000001</v>
      </c>
    </row>
    <row r="61" spans="1:6" x14ac:dyDescent="0.25">
      <c r="A61" t="s">
        <v>283</v>
      </c>
      <c r="B61" t="s">
        <v>200</v>
      </c>
      <c r="C61">
        <v>3</v>
      </c>
      <c r="D61">
        <f t="shared" ca="1" si="0"/>
        <v>5</v>
      </c>
      <c r="E61">
        <f t="shared" ca="1" si="1"/>
        <v>3.5</v>
      </c>
      <c r="F61">
        <v>3.9</v>
      </c>
    </row>
    <row r="62" spans="1:6" x14ac:dyDescent="0.25">
      <c r="A62" t="s">
        <v>209</v>
      </c>
      <c r="B62" t="s">
        <v>200</v>
      </c>
      <c r="C62">
        <v>3</v>
      </c>
      <c r="D62">
        <f t="shared" ca="1" si="0"/>
        <v>5</v>
      </c>
      <c r="E62">
        <f t="shared" ca="1" si="1"/>
        <v>3.5</v>
      </c>
      <c r="F62">
        <v>3.9</v>
      </c>
    </row>
    <row r="63" spans="1:6" x14ac:dyDescent="0.25">
      <c r="A63" t="s">
        <v>286</v>
      </c>
      <c r="B63" t="s">
        <v>200</v>
      </c>
      <c r="C63">
        <v>2</v>
      </c>
      <c r="D63">
        <f t="shared" ca="1" si="0"/>
        <v>1</v>
      </c>
      <c r="E63">
        <f t="shared" ca="1" si="1"/>
        <v>2.1</v>
      </c>
      <c r="F63">
        <v>2.9</v>
      </c>
    </row>
    <row r="64" spans="1:6" x14ac:dyDescent="0.25">
      <c r="A64" t="s">
        <v>288</v>
      </c>
      <c r="B64" t="s">
        <v>200</v>
      </c>
      <c r="C64">
        <v>4</v>
      </c>
      <c r="D64">
        <f t="shared" ca="1" si="0"/>
        <v>5</v>
      </c>
      <c r="E64">
        <f t="shared" ca="1" si="1"/>
        <v>4.5</v>
      </c>
      <c r="F64">
        <v>4</v>
      </c>
    </row>
    <row r="65" spans="1:6" x14ac:dyDescent="0.25">
      <c r="A65" t="s">
        <v>290</v>
      </c>
      <c r="B65" t="s">
        <v>201</v>
      </c>
      <c r="C65">
        <v>1</v>
      </c>
      <c r="D65">
        <f t="shared" ca="1" si="0"/>
        <v>0</v>
      </c>
      <c r="E65">
        <f t="shared" ca="1" si="1"/>
        <v>1</v>
      </c>
      <c r="F65">
        <v>1.5</v>
      </c>
    </row>
    <row r="66" spans="1:6" x14ac:dyDescent="0.25">
      <c r="A66" t="s">
        <v>292</v>
      </c>
      <c r="B66" t="s">
        <v>200</v>
      </c>
      <c r="C66">
        <v>2</v>
      </c>
      <c r="D66">
        <f t="shared" ca="1" si="0"/>
        <v>3</v>
      </c>
      <c r="E66">
        <f t="shared" ca="1" si="1"/>
        <v>2.2999999999999998</v>
      </c>
      <c r="F66">
        <v>2</v>
      </c>
    </row>
    <row r="67" spans="1:6" x14ac:dyDescent="0.25">
      <c r="A67" t="s">
        <v>277</v>
      </c>
      <c r="B67" t="s">
        <v>201</v>
      </c>
      <c r="C67">
        <v>2</v>
      </c>
      <c r="D67">
        <f t="shared" ca="1" si="0"/>
        <v>7</v>
      </c>
      <c r="E67">
        <f t="shared" ca="1" si="1"/>
        <v>2.7</v>
      </c>
      <c r="F67">
        <v>2.8</v>
      </c>
    </row>
    <row r="68" spans="1:6" x14ac:dyDescent="0.25">
      <c r="A68" t="s">
        <v>294</v>
      </c>
      <c r="B68" t="s">
        <v>201</v>
      </c>
      <c r="C68">
        <v>5</v>
      </c>
      <c r="D68">
        <f t="shared" ca="1" si="0"/>
        <v>4</v>
      </c>
      <c r="E68">
        <f t="shared" ca="1" si="1"/>
        <v>5.4</v>
      </c>
      <c r="F68">
        <v>5.3</v>
      </c>
    </row>
    <row r="69" spans="1:6" x14ac:dyDescent="0.25">
      <c r="A69" t="s">
        <v>256</v>
      </c>
      <c r="B69" t="s">
        <v>203</v>
      </c>
      <c r="C69">
        <v>10</v>
      </c>
      <c r="D69">
        <f t="shared" ca="1" si="0"/>
        <v>5</v>
      </c>
      <c r="E69">
        <f t="shared" ca="1" si="1"/>
        <v>10.5</v>
      </c>
      <c r="F69">
        <v>10.7</v>
      </c>
    </row>
    <row r="70" spans="1:6" x14ac:dyDescent="0.25">
      <c r="A70" t="s">
        <v>206</v>
      </c>
      <c r="B70" t="s">
        <v>201</v>
      </c>
      <c r="C70">
        <v>3</v>
      </c>
      <c r="D70">
        <f t="shared" ca="1" si="0"/>
        <v>3</v>
      </c>
      <c r="E70">
        <f t="shared" ref="E70:E111" ca="1" si="2">C70+D70/10</f>
        <v>3.3</v>
      </c>
      <c r="F70">
        <v>3.9</v>
      </c>
    </row>
    <row r="71" spans="1:6" x14ac:dyDescent="0.25">
      <c r="A71" t="s">
        <v>207</v>
      </c>
      <c r="B71" t="s">
        <v>200</v>
      </c>
      <c r="C71">
        <v>2</v>
      </c>
      <c r="D71">
        <f t="shared" ca="1" si="0"/>
        <v>3</v>
      </c>
      <c r="E71">
        <f t="shared" ca="1" si="2"/>
        <v>2.2999999999999998</v>
      </c>
      <c r="F71">
        <v>2.2000000000000002</v>
      </c>
    </row>
    <row r="72" spans="1:6" x14ac:dyDescent="0.25">
      <c r="A72" t="s">
        <v>208</v>
      </c>
      <c r="B72" t="s">
        <v>201</v>
      </c>
      <c r="C72">
        <v>4</v>
      </c>
      <c r="D72">
        <f t="shared" ca="1" si="0"/>
        <v>8</v>
      </c>
      <c r="E72">
        <f t="shared" ca="1" si="2"/>
        <v>4.8</v>
      </c>
      <c r="F72">
        <v>4.5999999999999996</v>
      </c>
    </row>
    <row r="73" spans="1:6" x14ac:dyDescent="0.25">
      <c r="A73" t="s">
        <v>210</v>
      </c>
      <c r="B73" t="s">
        <v>201</v>
      </c>
      <c r="C73">
        <v>4</v>
      </c>
      <c r="D73">
        <f t="shared" ca="1" si="0"/>
        <v>4</v>
      </c>
      <c r="E73">
        <f t="shared" ca="1" si="2"/>
        <v>4.4000000000000004</v>
      </c>
      <c r="F73">
        <v>4.5999999999999996</v>
      </c>
    </row>
    <row r="74" spans="1:6" x14ac:dyDescent="0.25">
      <c r="A74" t="s">
        <v>211</v>
      </c>
      <c r="B74" t="s">
        <v>201</v>
      </c>
      <c r="C74">
        <v>2</v>
      </c>
      <c r="D74">
        <f t="shared" ca="1" si="0"/>
        <v>1</v>
      </c>
      <c r="E74">
        <f t="shared" ca="1" si="2"/>
        <v>2.1</v>
      </c>
      <c r="F74">
        <v>2.6</v>
      </c>
    </row>
    <row r="75" spans="1:6" x14ac:dyDescent="0.25">
      <c r="A75" t="s">
        <v>212</v>
      </c>
      <c r="B75" t="s">
        <v>201</v>
      </c>
      <c r="C75">
        <v>6</v>
      </c>
      <c r="D75">
        <f t="shared" ca="1" si="0"/>
        <v>7</v>
      </c>
      <c r="E75">
        <f t="shared" ca="1" si="2"/>
        <v>6.7</v>
      </c>
      <c r="F75">
        <v>6.2</v>
      </c>
    </row>
    <row r="76" spans="1:6" x14ac:dyDescent="0.25">
      <c r="A76" t="s">
        <v>213</v>
      </c>
      <c r="B76" t="s">
        <v>202</v>
      </c>
      <c r="C76">
        <v>6</v>
      </c>
      <c r="D76">
        <f t="shared" ca="1" si="0"/>
        <v>9</v>
      </c>
      <c r="E76">
        <f t="shared" ca="1" si="2"/>
        <v>6.9</v>
      </c>
      <c r="F76">
        <v>6.9</v>
      </c>
    </row>
    <row r="77" spans="1:6" x14ac:dyDescent="0.25">
      <c r="A77" t="s">
        <v>214</v>
      </c>
      <c r="B77" t="s">
        <v>201</v>
      </c>
      <c r="C77">
        <v>3</v>
      </c>
      <c r="D77">
        <f t="shared" ca="1" si="0"/>
        <v>8</v>
      </c>
      <c r="E77">
        <f t="shared" ca="1" si="2"/>
        <v>3.8</v>
      </c>
      <c r="F77">
        <v>3.2</v>
      </c>
    </row>
    <row r="78" spans="1:6" x14ac:dyDescent="0.25">
      <c r="A78" t="s">
        <v>215</v>
      </c>
      <c r="B78" t="s">
        <v>202</v>
      </c>
      <c r="C78">
        <v>4</v>
      </c>
      <c r="D78">
        <f t="shared" ca="1" si="0"/>
        <v>7</v>
      </c>
      <c r="E78">
        <f t="shared" ca="1" si="2"/>
        <v>4.7</v>
      </c>
      <c r="F78">
        <v>4.5</v>
      </c>
    </row>
    <row r="79" spans="1:6" x14ac:dyDescent="0.25">
      <c r="A79" t="s">
        <v>216</v>
      </c>
      <c r="B79" t="s">
        <v>200</v>
      </c>
      <c r="C79">
        <v>2</v>
      </c>
      <c r="D79">
        <f t="shared" ca="1" si="0"/>
        <v>3</v>
      </c>
      <c r="E79">
        <f t="shared" ca="1" si="2"/>
        <v>2.2999999999999998</v>
      </c>
      <c r="F79">
        <v>2</v>
      </c>
    </row>
    <row r="80" spans="1:6" x14ac:dyDescent="0.25">
      <c r="A80" t="s">
        <v>217</v>
      </c>
      <c r="B80" t="s">
        <v>203</v>
      </c>
      <c r="C80">
        <v>5</v>
      </c>
      <c r="D80">
        <f t="shared" ca="1" si="0"/>
        <v>3</v>
      </c>
      <c r="E80">
        <f t="shared" ca="1" si="2"/>
        <v>5.3</v>
      </c>
      <c r="F80">
        <v>5.4</v>
      </c>
    </row>
    <row r="81" spans="1:6" x14ac:dyDescent="0.25">
      <c r="A81" t="s">
        <v>218</v>
      </c>
      <c r="B81" t="s">
        <v>200</v>
      </c>
      <c r="C81">
        <v>5</v>
      </c>
      <c r="D81">
        <f t="shared" ca="1" si="0"/>
        <v>4</v>
      </c>
      <c r="E81">
        <f t="shared" ca="1" si="2"/>
        <v>5.4</v>
      </c>
      <c r="F81">
        <v>5.0999999999999996</v>
      </c>
    </row>
    <row r="82" spans="1:6" x14ac:dyDescent="0.25">
      <c r="A82" t="s">
        <v>219</v>
      </c>
      <c r="B82" t="s">
        <v>200</v>
      </c>
      <c r="C82">
        <v>5</v>
      </c>
      <c r="D82">
        <f t="shared" ca="1" si="0"/>
        <v>7</v>
      </c>
      <c r="E82">
        <f t="shared" ca="1" si="2"/>
        <v>5.7</v>
      </c>
      <c r="F82">
        <v>5.3</v>
      </c>
    </row>
    <row r="83" spans="1:6" x14ac:dyDescent="0.25">
      <c r="A83" t="s">
        <v>220</v>
      </c>
      <c r="B83" t="s">
        <v>200</v>
      </c>
      <c r="C83">
        <v>3</v>
      </c>
      <c r="D83">
        <f t="shared" ca="1" si="0"/>
        <v>4</v>
      </c>
      <c r="E83">
        <f t="shared" ca="1" si="2"/>
        <v>3.4</v>
      </c>
      <c r="F83">
        <v>3.7</v>
      </c>
    </row>
    <row r="84" spans="1:6" x14ac:dyDescent="0.25">
      <c r="A84" t="s">
        <v>221</v>
      </c>
      <c r="B84" t="s">
        <v>200</v>
      </c>
      <c r="C84">
        <v>4</v>
      </c>
      <c r="D84">
        <f t="shared" ca="1" si="0"/>
        <v>1</v>
      </c>
      <c r="E84">
        <f t="shared" ca="1" si="2"/>
        <v>4.0999999999999996</v>
      </c>
      <c r="F84">
        <v>4</v>
      </c>
    </row>
    <row r="85" spans="1:6" x14ac:dyDescent="0.25">
      <c r="A85" t="s">
        <v>222</v>
      </c>
      <c r="B85" t="s">
        <v>201</v>
      </c>
      <c r="C85">
        <v>5</v>
      </c>
      <c r="D85">
        <f t="shared" ca="1" si="0"/>
        <v>6</v>
      </c>
      <c r="E85">
        <f t="shared" ca="1" si="2"/>
        <v>5.6</v>
      </c>
      <c r="F85">
        <v>5</v>
      </c>
    </row>
    <row r="86" spans="1:6" x14ac:dyDescent="0.25">
      <c r="A86" t="s">
        <v>223</v>
      </c>
      <c r="B86" t="s">
        <v>202</v>
      </c>
      <c r="C86">
        <v>4</v>
      </c>
      <c r="D86">
        <f t="shared" ref="D86:D111" ca="1" si="3">RANDBETWEEN(0,9)</f>
        <v>9</v>
      </c>
      <c r="E86">
        <f t="shared" ca="1" si="2"/>
        <v>4.9000000000000004</v>
      </c>
      <c r="F86">
        <v>4.9000000000000004</v>
      </c>
    </row>
    <row r="87" spans="1:6" x14ac:dyDescent="0.25">
      <c r="A87" t="s">
        <v>224</v>
      </c>
      <c r="B87" t="s">
        <v>202</v>
      </c>
      <c r="C87">
        <v>5</v>
      </c>
      <c r="D87">
        <f t="shared" ca="1" si="3"/>
        <v>1</v>
      </c>
      <c r="E87">
        <f t="shared" ca="1" si="2"/>
        <v>5.0999999999999996</v>
      </c>
      <c r="F87">
        <v>5.3</v>
      </c>
    </row>
    <row r="88" spans="1:6" x14ac:dyDescent="0.25">
      <c r="A88" t="s">
        <v>225</v>
      </c>
      <c r="B88" t="s">
        <v>200</v>
      </c>
      <c r="C88">
        <v>5</v>
      </c>
      <c r="D88">
        <f t="shared" ca="1" si="3"/>
        <v>8</v>
      </c>
      <c r="E88">
        <f t="shared" ca="1" si="2"/>
        <v>5.8</v>
      </c>
      <c r="F88">
        <v>5.8</v>
      </c>
    </row>
    <row r="89" spans="1:6" x14ac:dyDescent="0.25">
      <c r="A89" t="s">
        <v>226</v>
      </c>
      <c r="B89" t="s">
        <v>202</v>
      </c>
      <c r="C89">
        <v>8</v>
      </c>
      <c r="D89">
        <f t="shared" ca="1" si="3"/>
        <v>8</v>
      </c>
      <c r="E89">
        <f t="shared" ca="1" si="2"/>
        <v>8.8000000000000007</v>
      </c>
      <c r="F89">
        <v>8.3000000000000007</v>
      </c>
    </row>
    <row r="90" spans="1:6" x14ac:dyDescent="0.25">
      <c r="A90" t="s">
        <v>227</v>
      </c>
      <c r="B90" t="s">
        <v>201</v>
      </c>
      <c r="C90">
        <v>2</v>
      </c>
      <c r="D90">
        <f t="shared" ca="1" si="3"/>
        <v>0</v>
      </c>
      <c r="E90">
        <f t="shared" ca="1" si="2"/>
        <v>2</v>
      </c>
      <c r="F90">
        <v>2.5</v>
      </c>
    </row>
    <row r="91" spans="1:6" x14ac:dyDescent="0.25">
      <c r="A91" t="s">
        <v>228</v>
      </c>
      <c r="B91" t="s">
        <v>201</v>
      </c>
      <c r="C91">
        <v>2</v>
      </c>
      <c r="D91">
        <f t="shared" ca="1" si="3"/>
        <v>4</v>
      </c>
      <c r="E91">
        <f t="shared" ca="1" si="2"/>
        <v>2.4</v>
      </c>
      <c r="F91">
        <v>2</v>
      </c>
    </row>
    <row r="92" spans="1:6" x14ac:dyDescent="0.25">
      <c r="A92" t="s">
        <v>229</v>
      </c>
      <c r="B92" t="s">
        <v>200</v>
      </c>
      <c r="C92">
        <v>3</v>
      </c>
      <c r="D92">
        <f t="shared" ca="1" si="3"/>
        <v>2</v>
      </c>
      <c r="E92">
        <f t="shared" ca="1" si="2"/>
        <v>3.2</v>
      </c>
      <c r="F92">
        <v>3.5</v>
      </c>
    </row>
    <row r="93" spans="1:6" x14ac:dyDescent="0.25">
      <c r="A93" t="s">
        <v>230</v>
      </c>
      <c r="B93" t="s">
        <v>201</v>
      </c>
      <c r="C93">
        <v>4</v>
      </c>
      <c r="D93">
        <f t="shared" ca="1" si="3"/>
        <v>4</v>
      </c>
      <c r="E93">
        <f t="shared" ca="1" si="2"/>
        <v>4.4000000000000004</v>
      </c>
      <c r="F93">
        <v>4</v>
      </c>
    </row>
    <row r="94" spans="1:6" x14ac:dyDescent="0.25">
      <c r="A94" t="s">
        <v>231</v>
      </c>
      <c r="B94" t="s">
        <v>200</v>
      </c>
      <c r="C94">
        <v>2</v>
      </c>
      <c r="D94">
        <f t="shared" ca="1" si="3"/>
        <v>6</v>
      </c>
      <c r="E94">
        <f t="shared" ca="1" si="2"/>
        <v>2.6</v>
      </c>
      <c r="F94">
        <v>2.6</v>
      </c>
    </row>
    <row r="95" spans="1:6" x14ac:dyDescent="0.25">
      <c r="A95" t="s">
        <v>232</v>
      </c>
      <c r="B95" t="s">
        <v>201</v>
      </c>
      <c r="C95">
        <v>2</v>
      </c>
      <c r="D95">
        <f t="shared" ca="1" si="3"/>
        <v>5</v>
      </c>
      <c r="E95">
        <f t="shared" ca="1" si="2"/>
        <v>2.5</v>
      </c>
      <c r="F95">
        <v>2.2999999999999998</v>
      </c>
    </row>
    <row r="96" spans="1:6" x14ac:dyDescent="0.25">
      <c r="A96" t="s">
        <v>233</v>
      </c>
      <c r="B96" t="s">
        <v>201</v>
      </c>
      <c r="C96">
        <v>2</v>
      </c>
      <c r="D96">
        <f t="shared" ca="1" si="3"/>
        <v>8</v>
      </c>
      <c r="E96">
        <f t="shared" ca="1" si="2"/>
        <v>2.8</v>
      </c>
      <c r="F96">
        <v>2.9</v>
      </c>
    </row>
    <row r="97" spans="1:6" x14ac:dyDescent="0.25">
      <c r="A97" t="s">
        <v>234</v>
      </c>
      <c r="B97" t="s">
        <v>202</v>
      </c>
      <c r="C97">
        <v>1</v>
      </c>
      <c r="D97">
        <f t="shared" ca="1" si="3"/>
        <v>0</v>
      </c>
      <c r="E97">
        <f t="shared" ca="1" si="2"/>
        <v>1</v>
      </c>
      <c r="F97">
        <v>1.1000000000000001</v>
      </c>
    </row>
    <row r="98" spans="1:6" x14ac:dyDescent="0.25">
      <c r="A98" t="s">
        <v>235</v>
      </c>
      <c r="B98" t="s">
        <v>202</v>
      </c>
      <c r="C98">
        <v>3</v>
      </c>
      <c r="D98">
        <f t="shared" ca="1" si="3"/>
        <v>1</v>
      </c>
      <c r="E98">
        <f t="shared" ca="1" si="2"/>
        <v>3.1</v>
      </c>
      <c r="F98">
        <v>3.1</v>
      </c>
    </row>
    <row r="99" spans="1:6" x14ac:dyDescent="0.25">
      <c r="A99" t="s">
        <v>236</v>
      </c>
      <c r="B99" t="s">
        <v>200</v>
      </c>
      <c r="C99">
        <v>4</v>
      </c>
      <c r="D99">
        <f t="shared" ca="1" si="3"/>
        <v>9</v>
      </c>
      <c r="E99">
        <f t="shared" ca="1" si="2"/>
        <v>4.9000000000000004</v>
      </c>
      <c r="F99">
        <v>4.8</v>
      </c>
    </row>
    <row r="100" spans="1:6" x14ac:dyDescent="0.25">
      <c r="A100" t="s">
        <v>237</v>
      </c>
      <c r="B100" t="s">
        <v>200</v>
      </c>
      <c r="C100">
        <v>2</v>
      </c>
      <c r="D100">
        <f t="shared" ca="1" si="3"/>
        <v>2</v>
      </c>
      <c r="E100">
        <f t="shared" ca="1" si="2"/>
        <v>2.2000000000000002</v>
      </c>
      <c r="F100">
        <v>2.4</v>
      </c>
    </row>
    <row r="101" spans="1:6" x14ac:dyDescent="0.25">
      <c r="A101" t="s">
        <v>239</v>
      </c>
      <c r="B101" t="s">
        <v>200</v>
      </c>
      <c r="C101">
        <v>3</v>
      </c>
      <c r="D101">
        <f t="shared" ca="1" si="3"/>
        <v>3</v>
      </c>
      <c r="E101">
        <f t="shared" ca="1" si="2"/>
        <v>3.3</v>
      </c>
      <c r="F101">
        <v>3</v>
      </c>
    </row>
    <row r="102" spans="1:6" x14ac:dyDescent="0.25">
      <c r="A102" t="s">
        <v>240</v>
      </c>
      <c r="B102" t="s">
        <v>202</v>
      </c>
      <c r="C102">
        <v>10</v>
      </c>
      <c r="D102">
        <f t="shared" ca="1" si="3"/>
        <v>5</v>
      </c>
      <c r="E102">
        <f t="shared" ca="1" si="2"/>
        <v>10.5</v>
      </c>
      <c r="F102">
        <v>10</v>
      </c>
    </row>
    <row r="103" spans="1:6" x14ac:dyDescent="0.25">
      <c r="A103" t="s">
        <v>241</v>
      </c>
      <c r="B103" t="s">
        <v>201</v>
      </c>
      <c r="C103">
        <v>4</v>
      </c>
      <c r="D103">
        <f t="shared" ca="1" si="3"/>
        <v>2</v>
      </c>
      <c r="E103">
        <f t="shared" ca="1" si="2"/>
        <v>4.2</v>
      </c>
      <c r="F103">
        <v>4.5999999999999996</v>
      </c>
    </row>
    <row r="104" spans="1:6" x14ac:dyDescent="0.25">
      <c r="A104" t="s">
        <v>242</v>
      </c>
      <c r="B104" t="s">
        <v>201</v>
      </c>
      <c r="C104">
        <v>5</v>
      </c>
      <c r="D104">
        <f t="shared" ca="1" si="3"/>
        <v>0</v>
      </c>
      <c r="E104">
        <f t="shared" ca="1" si="2"/>
        <v>5</v>
      </c>
      <c r="F104">
        <v>5.7</v>
      </c>
    </row>
    <row r="105" spans="1:6" x14ac:dyDescent="0.25">
      <c r="A105" t="s">
        <v>243</v>
      </c>
      <c r="B105" t="s">
        <v>201</v>
      </c>
      <c r="C105">
        <v>2</v>
      </c>
      <c r="D105">
        <f t="shared" ca="1" si="3"/>
        <v>5</v>
      </c>
      <c r="E105">
        <f t="shared" ca="1" si="2"/>
        <v>2.5</v>
      </c>
      <c r="F105">
        <v>2.2000000000000002</v>
      </c>
    </row>
    <row r="106" spans="1:6" x14ac:dyDescent="0.25">
      <c r="A106" t="s">
        <v>244</v>
      </c>
      <c r="B106" t="s">
        <v>202</v>
      </c>
      <c r="C106">
        <v>5</v>
      </c>
      <c r="D106">
        <f t="shared" ca="1" si="3"/>
        <v>4</v>
      </c>
      <c r="E106">
        <f t="shared" ca="1" si="2"/>
        <v>5.4</v>
      </c>
      <c r="F106">
        <v>5</v>
      </c>
    </row>
    <row r="107" spans="1:6" x14ac:dyDescent="0.25">
      <c r="A107" t="s">
        <v>245</v>
      </c>
      <c r="B107" t="s">
        <v>201</v>
      </c>
      <c r="C107">
        <v>2</v>
      </c>
      <c r="D107">
        <f t="shared" ca="1" si="3"/>
        <v>0</v>
      </c>
      <c r="E107">
        <f t="shared" ca="1" si="2"/>
        <v>2</v>
      </c>
      <c r="F107">
        <v>2.2999999999999998</v>
      </c>
    </row>
    <row r="108" spans="1:6" x14ac:dyDescent="0.25">
      <c r="A108" t="s">
        <v>247</v>
      </c>
      <c r="B108" t="s">
        <v>200</v>
      </c>
      <c r="C108">
        <v>2</v>
      </c>
      <c r="D108">
        <f t="shared" ca="1" si="3"/>
        <v>3</v>
      </c>
      <c r="E108">
        <f t="shared" ca="1" si="2"/>
        <v>2.2999999999999998</v>
      </c>
      <c r="F108">
        <v>2.2000000000000002</v>
      </c>
    </row>
    <row r="109" spans="1:6" x14ac:dyDescent="0.25">
      <c r="A109" t="s">
        <v>248</v>
      </c>
      <c r="B109" t="s">
        <v>200</v>
      </c>
      <c r="C109">
        <v>1</v>
      </c>
      <c r="D109">
        <f t="shared" ca="1" si="3"/>
        <v>1</v>
      </c>
      <c r="E109">
        <f t="shared" ca="1" si="2"/>
        <v>1.1000000000000001</v>
      </c>
      <c r="F109">
        <v>1.5</v>
      </c>
    </row>
    <row r="110" spans="1:6" x14ac:dyDescent="0.25">
      <c r="A110" t="s">
        <v>249</v>
      </c>
      <c r="B110" t="s">
        <v>200</v>
      </c>
      <c r="C110">
        <v>1</v>
      </c>
      <c r="D110">
        <f t="shared" ca="1" si="3"/>
        <v>7</v>
      </c>
      <c r="E110">
        <f t="shared" ca="1" si="2"/>
        <v>1.7</v>
      </c>
      <c r="F110">
        <v>1</v>
      </c>
    </row>
    <row r="111" spans="1:6" x14ac:dyDescent="0.25">
      <c r="A111" t="s">
        <v>250</v>
      </c>
      <c r="B111" t="s">
        <v>201</v>
      </c>
      <c r="C111">
        <v>3</v>
      </c>
      <c r="D111">
        <f t="shared" ca="1" si="3"/>
        <v>6</v>
      </c>
      <c r="E111">
        <f t="shared" ca="1" si="2"/>
        <v>3.6</v>
      </c>
      <c r="F111">
        <v>3.4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1"/>
  <sheetViews>
    <sheetView topLeftCell="C1" workbookViewId="0">
      <selection activeCell="A481" sqref="A1:G481"/>
    </sheetView>
  </sheetViews>
  <sheetFormatPr defaultRowHeight="15" x14ac:dyDescent="0.25"/>
  <cols>
    <col min="1" max="7" width="26.42578125" customWidth="1"/>
  </cols>
  <sheetData>
    <row r="1" spans="1:7" x14ac:dyDescent="0.25">
      <c r="A1" t="s">
        <v>59</v>
      </c>
      <c r="B1" t="s">
        <v>199</v>
      </c>
      <c r="C1" t="s">
        <v>198</v>
      </c>
      <c r="D1" t="s">
        <v>197</v>
      </c>
      <c r="E1" t="s">
        <v>196</v>
      </c>
      <c r="F1" t="s">
        <v>195</v>
      </c>
      <c r="G1" t="s">
        <v>194</v>
      </c>
    </row>
    <row r="2" spans="1:7" x14ac:dyDescent="0.25">
      <c r="A2">
        <v>6</v>
      </c>
      <c r="B2" t="s">
        <v>112</v>
      </c>
      <c r="C2" t="str">
        <f>IF(B2="western",randomselection(Ingredient!$A$2:$A$18),IF(B2="asian",randomselection(Ingredient!$B$2:$B$18),IF(B2="fusion",randomselection(Ingredient!$C$2:$C$18),IF(B2="asian",randomselection(Ingredient!$B$2:$B$18),IF(B2="vegetable",randomselection(Ingredient!$D$2:$D$18),randomselection(Ingredient!$E$2:$E$18))))))</f>
        <v>lobsters</v>
      </c>
      <c r="D2" t="str">
        <f>VLOOKUP(IngredientGenerator!C2,Ingredient!$A$21:$F$111,2,FALSE)</f>
        <v>piece</v>
      </c>
      <c r="E2" t="s">
        <v>112</v>
      </c>
      <c r="F2" t="str">
        <f t="shared" ref="F2:F65" si="0">CONCATENATE(C2," is a very nice food and beverage category that is categorized under ",E2," cuisine")</f>
        <v>lobsters is a very nice food and beverage category that is categorized under western cuisine</v>
      </c>
      <c r="G2">
        <f>VLOOKUP(IngredientGenerator!C2,Ingredient!$A$21:$F$111,6,FALSE)</f>
        <v>5</v>
      </c>
    </row>
    <row r="3" spans="1:7" x14ac:dyDescent="0.25">
      <c r="A3">
        <v>7</v>
      </c>
      <c r="B3" t="s">
        <v>113</v>
      </c>
      <c r="C3" t="str">
        <f>IF(B3="western",randomselection(Ingredient!$A$2:$A$18),IF(B3="asian",randomselection(Ingredient!$B$2:$B$18),IF(B3="fusion",randomselection(Ingredient!$C$2:$C$18),IF(B3="asian",randomselection(Ingredient!$B$2:$B$18),IF(B3="vegetable",randomselection(Ingredient!$D$2:$D$18),randomselection(Ingredient!$E$2:$E$18))))))</f>
        <v>mussels</v>
      </c>
      <c r="D3" t="str">
        <f>VLOOKUP(IngredientGenerator!C3,Ingredient!$A$21:$F$111,2,FALSE)</f>
        <v>package</v>
      </c>
      <c r="E3" t="s">
        <v>113</v>
      </c>
      <c r="F3" t="str">
        <f t="shared" si="0"/>
        <v>mussels is a very nice food and beverage category that is categorized under asian cuisine</v>
      </c>
      <c r="G3">
        <f>VLOOKUP(IngredientGenerator!C3,Ingredient!$A$21:$F$111,6,FALSE)</f>
        <v>6.2</v>
      </c>
    </row>
    <row r="4" spans="1:7" x14ac:dyDescent="0.25">
      <c r="A4">
        <v>8</v>
      </c>
      <c r="B4" t="s">
        <v>114</v>
      </c>
      <c r="C4" t="str">
        <f>IF(B4="western",randomselection(Ingredient!$A$2:$A$18),IF(B4="asian",randomselection(Ingredient!$B$2:$B$18),IF(B4="fusion",randomselection(Ingredient!$C$2:$C$18),IF(B4="asian",randomselection(Ingredient!$B$2:$B$18),IF(B4="vegetable",randomselection(Ingredient!$D$2:$D$18),randomselection(Ingredient!$E$2:$E$18))))))</f>
        <v>hot sauce</v>
      </c>
      <c r="D4" t="str">
        <f>VLOOKUP(IngredientGenerator!C4,Ingredient!$A$21:$F$111,2,FALSE)</f>
        <v>can</v>
      </c>
      <c r="E4" t="s">
        <v>114</v>
      </c>
      <c r="F4" t="str">
        <f t="shared" si="0"/>
        <v>hot sauce is a very nice food and beverage category that is categorized under fusion cuisine</v>
      </c>
      <c r="G4">
        <f>VLOOKUP(IngredientGenerator!C4,Ingredient!$A$21:$F$111,6,FALSE)</f>
        <v>1</v>
      </c>
    </row>
    <row r="5" spans="1:7" x14ac:dyDescent="0.25">
      <c r="A5">
        <v>9</v>
      </c>
      <c r="B5" t="s">
        <v>114</v>
      </c>
      <c r="C5" t="str">
        <f>IF(B5="western",randomselection(Ingredient!$A$2:$A$18),IF(B5="asian",randomselection(Ingredient!$B$2:$B$18),IF(B5="fusion",randomselection(Ingredient!$C$2:$C$18),IF(B5="asian",randomselection(Ingredient!$B$2:$B$18),IF(B5="vegetable",randomselection(Ingredient!$D$2:$D$18),randomselection(Ingredient!$E$2:$E$18))))))</f>
        <v>pumpkin seeds</v>
      </c>
      <c r="D5" t="str">
        <f>VLOOKUP(IngredientGenerator!C5,Ingredient!$A$21:$F$111,2,FALSE)</f>
        <v>package</v>
      </c>
      <c r="E5" t="s">
        <v>114</v>
      </c>
      <c r="F5" t="str">
        <f t="shared" si="0"/>
        <v>pumpkin seeds is a very nice food and beverage category that is categorized under fusion cuisine</v>
      </c>
      <c r="G5">
        <f>VLOOKUP(IngredientGenerator!C5,Ingredient!$A$21:$F$111,6,FALSE)</f>
        <v>3.4</v>
      </c>
    </row>
    <row r="6" spans="1:7" x14ac:dyDescent="0.25">
      <c r="A6">
        <v>10</v>
      </c>
      <c r="B6" t="s">
        <v>115</v>
      </c>
      <c r="C6" t="str">
        <f>IF(B6="western",randomselection(Ingredient!$A$2:$A$18),IF(B6="asian",randomselection(Ingredient!$B$2:$B$18),IF(B6="fusion",randomselection(Ingredient!$C$2:$C$18),IF(B6="asian",randomselection(Ingredient!$B$2:$B$18),IF(B6="vegetable",randomselection(Ingredient!$D$2:$D$18),randomselection(Ingredient!$E$2:$E$18))))))</f>
        <v>salsa</v>
      </c>
      <c r="D6" t="str">
        <f>VLOOKUP(IngredientGenerator!C6,Ingredient!$A$21:$F$111,2,FALSE)</f>
        <v>can</v>
      </c>
      <c r="E6" t="s">
        <v>115</v>
      </c>
      <c r="F6" t="str">
        <f t="shared" si="0"/>
        <v>salsa is a very nice food and beverage category that is categorized under vegetable cuisine</v>
      </c>
      <c r="G6">
        <f>VLOOKUP(IngredientGenerator!C6,Ingredient!$A$21:$F$111,6,FALSE)</f>
        <v>3.4</v>
      </c>
    </row>
    <row r="7" spans="1:7" x14ac:dyDescent="0.25">
      <c r="A7">
        <v>11</v>
      </c>
      <c r="B7" t="s">
        <v>116</v>
      </c>
      <c r="C7" t="str">
        <f>IF(B7="western",randomselection(Ingredient!$A$2:$A$18),IF(B7="asian",randomselection(Ingredient!$B$2:$B$18),IF(B7="fusion",randomselection(Ingredient!$C$2:$C$18),IF(B7="asian",randomselection(Ingredient!$B$2:$B$18),IF(B7="vegetable",randomselection(Ingredient!$D$2:$D$18),randomselection(Ingredient!$E$2:$E$18))))))</f>
        <v>baking soda</v>
      </c>
      <c r="D7" t="str">
        <f>VLOOKUP(IngredientGenerator!C7,Ingredient!$A$21:$F$111,2,FALSE)</f>
        <v>can</v>
      </c>
      <c r="E7" t="s">
        <v>116</v>
      </c>
      <c r="F7" t="str">
        <f t="shared" si="0"/>
        <v>baking soda is a very nice food and beverage category that is categorized under beverage cuisine</v>
      </c>
      <c r="G7">
        <f>VLOOKUP(IngredientGenerator!C7,Ingredient!$A$21:$F$111,6,FALSE)</f>
        <v>3.9</v>
      </c>
    </row>
    <row r="8" spans="1:7" x14ac:dyDescent="0.25">
      <c r="A8">
        <v>12</v>
      </c>
      <c r="B8" t="s">
        <v>116</v>
      </c>
      <c r="C8" t="str">
        <f>IF(B8="western",randomselection(Ingredient!$A$2:$A$18),IF(B8="asian",randomselection(Ingredient!$B$2:$B$18),IF(B8="fusion",randomselection(Ingredient!$C$2:$C$18),IF(B8="asian",randomselection(Ingredient!$B$2:$B$18),IF(B8="vegetable",randomselection(Ingredient!$D$2:$D$18),randomselection(Ingredient!$E$2:$E$18))))))</f>
        <v>broccoli</v>
      </c>
      <c r="D8" t="str">
        <f>VLOOKUP(IngredientGenerator!C8,Ingredient!$A$21:$F$111,2,FALSE)</f>
        <v>package</v>
      </c>
      <c r="E8" t="s">
        <v>116</v>
      </c>
      <c r="F8" t="str">
        <f t="shared" si="0"/>
        <v>broccoli is a very nice food and beverage category that is categorized under beverage cuisine</v>
      </c>
      <c r="G8">
        <f>VLOOKUP(IngredientGenerator!C8,Ingredient!$A$21:$F$111,6,FALSE)</f>
        <v>1.5</v>
      </c>
    </row>
    <row r="9" spans="1:7" x14ac:dyDescent="0.25">
      <c r="A9">
        <v>13</v>
      </c>
      <c r="B9" t="s">
        <v>116</v>
      </c>
      <c r="C9" t="str">
        <f>IF(B9="western",randomselection(Ingredient!$A$2:$A$18),IF(B9="asian",randomselection(Ingredient!$B$2:$B$18),IF(B9="fusion",randomselection(Ingredient!$C$2:$C$18),IF(B9="asian",randomselection(Ingredient!$B$2:$B$18),IF(B9="vegetable",randomselection(Ingredient!$D$2:$D$18),randomselection(Ingredient!$E$2:$E$18))))))</f>
        <v>brandy</v>
      </c>
      <c r="D9" t="str">
        <f>VLOOKUP(IngredientGenerator!C9,Ingredient!$A$21:$F$111,2,FALSE)</f>
        <v>bottle</v>
      </c>
      <c r="E9" t="s">
        <v>116</v>
      </c>
      <c r="F9" t="str">
        <f t="shared" si="0"/>
        <v>brandy is a very nice food and beverage category that is categorized under beverage cuisine</v>
      </c>
      <c r="G9">
        <f>VLOOKUP(IngredientGenerator!C9,Ingredient!$A$21:$F$111,6,FALSE)</f>
        <v>10.7</v>
      </c>
    </row>
    <row r="10" spans="1:7" x14ac:dyDescent="0.25">
      <c r="A10">
        <v>14</v>
      </c>
      <c r="B10" t="s">
        <v>113</v>
      </c>
      <c r="C10" t="str">
        <f>IF(B10="western",randomselection(Ingredient!$A$2:$A$18),IF(B10="asian",randomselection(Ingredient!$B$2:$B$18),IF(B10="fusion",randomselection(Ingredient!$C$2:$C$18),IF(B10="asian",randomselection(Ingredient!$B$2:$B$18),IF(B10="vegetable",randomselection(Ingredient!$D$2:$D$18),randomselection(Ingredient!$E$2:$E$18))))))</f>
        <v>gelatin</v>
      </c>
      <c r="D10" t="str">
        <f>VLOOKUP(IngredientGenerator!C10,Ingredient!$A$21:$F$111,2,FALSE)</f>
        <v>can</v>
      </c>
      <c r="E10" t="s">
        <v>113</v>
      </c>
      <c r="F10" t="str">
        <f t="shared" si="0"/>
        <v>gelatin is a very nice food and beverage category that is categorized under asian cuisine</v>
      </c>
      <c r="G10">
        <f>VLOOKUP(IngredientGenerator!C10,Ingredient!$A$21:$F$111,6,FALSE)</f>
        <v>2</v>
      </c>
    </row>
    <row r="11" spans="1:7" x14ac:dyDescent="0.25">
      <c r="A11">
        <v>15</v>
      </c>
      <c r="B11" t="s">
        <v>116</v>
      </c>
      <c r="C11" t="str">
        <f>IF(B11="western",randomselection(Ingredient!$A$2:$A$18),IF(B11="asian",randomselection(Ingredient!$B$2:$B$18),IF(B11="fusion",randomselection(Ingredient!$C$2:$C$18),IF(B11="asian",randomselection(Ingredient!$B$2:$B$18),IF(B11="vegetable",randomselection(Ingredient!$D$2:$D$18),randomselection(Ingredient!$E$2:$E$18))))))</f>
        <v>amaretto</v>
      </c>
      <c r="D11" t="str">
        <f>VLOOKUP(IngredientGenerator!C11,Ingredient!$A$21:$F$111,2,FALSE)</f>
        <v>package</v>
      </c>
      <c r="E11" t="s">
        <v>116</v>
      </c>
      <c r="F11" t="str">
        <f t="shared" si="0"/>
        <v>amaretto is a very nice food and beverage category that is categorized under beverage cuisine</v>
      </c>
      <c r="G11">
        <f>VLOOKUP(IngredientGenerator!C11,Ingredient!$A$21:$F$111,6,FALSE)</f>
        <v>1.1000000000000001</v>
      </c>
    </row>
    <row r="12" spans="1:7" x14ac:dyDescent="0.25">
      <c r="A12">
        <v>16</v>
      </c>
      <c r="B12" t="s">
        <v>114</v>
      </c>
      <c r="C12" t="str">
        <f>IF(B12="western",randomselection(Ingredient!$A$2:$A$18),IF(B12="asian",randomselection(Ingredient!$B$2:$B$18),IF(B12="fusion",randomselection(Ingredient!$C$2:$C$18),IF(B12="asian",randomselection(Ingredient!$B$2:$B$18),IF(B12="vegetable",randomselection(Ingredient!$D$2:$D$18),randomselection(Ingredient!$E$2:$E$18))))))</f>
        <v>mackerel</v>
      </c>
      <c r="D12" t="str">
        <f>VLOOKUP(IngredientGenerator!C12,Ingredient!$A$21:$F$111,2,FALSE)</f>
        <v>piece</v>
      </c>
      <c r="E12" t="s">
        <v>114</v>
      </c>
      <c r="F12" t="str">
        <f t="shared" si="0"/>
        <v>mackerel is a very nice food and beverage category that is categorized under fusion cuisine</v>
      </c>
      <c r="G12">
        <f>VLOOKUP(IngredientGenerator!C12,Ingredient!$A$21:$F$111,6,FALSE)</f>
        <v>8.3000000000000007</v>
      </c>
    </row>
    <row r="13" spans="1:7" x14ac:dyDescent="0.25">
      <c r="A13">
        <v>17</v>
      </c>
      <c r="B13" t="s">
        <v>113</v>
      </c>
      <c r="C13" t="str">
        <f>IF(B13="western",randomselection(Ingredient!$A$2:$A$18),IF(B13="asian",randomselection(Ingredient!$B$2:$B$18),IF(B13="fusion",randomselection(Ingredient!$C$2:$C$18),IF(B13="asian",randomselection(Ingredient!$B$2:$B$18),IF(B13="vegetable",randomselection(Ingredient!$D$2:$D$18),randomselection(Ingredient!$E$2:$E$18))))))</f>
        <v>mussels</v>
      </c>
      <c r="D13" t="str">
        <f>VLOOKUP(IngredientGenerator!C13,Ingredient!$A$21:$F$111,2,FALSE)</f>
        <v>package</v>
      </c>
      <c r="E13" t="s">
        <v>113</v>
      </c>
      <c r="F13" t="str">
        <f t="shared" si="0"/>
        <v>mussels is a very nice food and beverage category that is categorized under asian cuisine</v>
      </c>
      <c r="G13">
        <f>VLOOKUP(IngredientGenerator!C13,Ingredient!$A$21:$F$111,6,FALSE)</f>
        <v>6.2</v>
      </c>
    </row>
    <row r="14" spans="1:7" x14ac:dyDescent="0.25">
      <c r="A14">
        <v>18</v>
      </c>
      <c r="B14" t="s">
        <v>114</v>
      </c>
      <c r="C14" t="str">
        <f>IF(B14="western",randomselection(Ingredient!$A$2:$A$18),IF(B14="asian",randomselection(Ingredient!$B$2:$B$18),IF(B14="fusion",randomselection(Ingredient!$C$2:$C$18),IF(B14="asian",randomselection(Ingredient!$B$2:$B$18),IF(B14="vegetable",randomselection(Ingredient!$D$2:$D$18),randomselection(Ingredient!$E$2:$E$18))))))</f>
        <v>peaches</v>
      </c>
      <c r="D14" t="str">
        <f>VLOOKUP(IngredientGenerator!C14,Ingredient!$A$21:$F$111,2,FALSE)</f>
        <v>can</v>
      </c>
      <c r="E14" t="s">
        <v>114</v>
      </c>
      <c r="F14" t="str">
        <f t="shared" si="0"/>
        <v>peaches is a very nice food and beverage category that is categorized under fusion cuisine</v>
      </c>
      <c r="G14">
        <f>VLOOKUP(IngredientGenerator!C14,Ingredient!$A$21:$F$111,6,FALSE)</f>
        <v>2.2000000000000002</v>
      </c>
    </row>
    <row r="15" spans="1:7" x14ac:dyDescent="0.25">
      <c r="A15">
        <v>19</v>
      </c>
      <c r="B15" t="s">
        <v>114</v>
      </c>
      <c r="C15" t="str">
        <f>IF(B15="western",randomselection(Ingredient!$A$2:$A$18),IF(B15="asian",randomselection(Ingredient!$B$2:$B$18),IF(B15="fusion",randomselection(Ingredient!$C$2:$C$18),IF(B15="asian",randomselection(Ingredient!$B$2:$B$18),IF(B15="vegetable",randomselection(Ingredient!$D$2:$D$18),randomselection(Ingredient!$E$2:$E$18))))))</f>
        <v>red pepper flakes</v>
      </c>
      <c r="D15" t="str">
        <f>VLOOKUP(IngredientGenerator!C15,Ingredient!$A$21:$F$111,2,FALSE)</f>
        <v>package</v>
      </c>
      <c r="E15" t="s">
        <v>114</v>
      </c>
      <c r="F15" t="str">
        <f t="shared" si="0"/>
        <v>red pepper flakes is a very nice food and beverage category that is categorized under fusion cuisine</v>
      </c>
      <c r="G15">
        <f>VLOOKUP(IngredientGenerator!C15,Ingredient!$A$21:$F$111,6,FALSE)</f>
        <v>2</v>
      </c>
    </row>
    <row r="16" spans="1:7" x14ac:dyDescent="0.25">
      <c r="A16">
        <v>20</v>
      </c>
      <c r="B16" t="s">
        <v>114</v>
      </c>
      <c r="C16" t="str">
        <f>IF(B16="western",randomselection(Ingredient!$A$2:$A$18),IF(B16="asian",randomselection(Ingredient!$B$2:$B$18),IF(B16="fusion",randomselection(Ingredient!$C$2:$C$18),IF(B16="asian",randomselection(Ingredient!$B$2:$B$18),IF(B16="vegetable",randomselection(Ingredient!$D$2:$D$18),randomselection(Ingredient!$E$2:$E$18))))))</f>
        <v>feta cheese</v>
      </c>
      <c r="D16" t="str">
        <f>VLOOKUP(IngredientGenerator!C16,Ingredient!$A$21:$F$111,2,FALSE)</f>
        <v>package</v>
      </c>
      <c r="E16" t="s">
        <v>114</v>
      </c>
      <c r="F16" t="str">
        <f t="shared" si="0"/>
        <v>feta cheese is a very nice food and beverage category that is categorized under fusion cuisine</v>
      </c>
      <c r="G16">
        <f>VLOOKUP(IngredientGenerator!C16,Ingredient!$A$21:$F$111,6,FALSE)</f>
        <v>1.7</v>
      </c>
    </row>
    <row r="17" spans="1:7" x14ac:dyDescent="0.25">
      <c r="A17">
        <v>21</v>
      </c>
      <c r="B17" t="s">
        <v>113</v>
      </c>
      <c r="C17" t="str">
        <f>IF(B17="western",randomselection(Ingredient!$A$2:$A$18),IF(B17="asian",randomselection(Ingredient!$B$2:$B$18),IF(B17="fusion",randomselection(Ingredient!$C$2:$C$18),IF(B17="asian",randomselection(Ingredient!$B$2:$B$18),IF(B17="vegetable",randomselection(Ingredient!$D$2:$D$18),randomselection(Ingredient!$E$2:$E$18))))))</f>
        <v>cremini mushrooms</v>
      </c>
      <c r="D17" t="str">
        <f>VLOOKUP(IngredientGenerator!C17,Ingredient!$A$21:$F$111,2,FALSE)</f>
        <v>can</v>
      </c>
      <c r="E17" t="s">
        <v>113</v>
      </c>
      <c r="F17" t="str">
        <f t="shared" si="0"/>
        <v>cremini mushrooms is a very nice food and beverage category that is categorized under asian cuisine</v>
      </c>
      <c r="G17">
        <f>VLOOKUP(IngredientGenerator!C17,Ingredient!$A$21:$F$111,6,FALSE)</f>
        <v>2.4</v>
      </c>
    </row>
    <row r="18" spans="1:7" x14ac:dyDescent="0.25">
      <c r="A18">
        <v>22</v>
      </c>
      <c r="B18" t="s">
        <v>116</v>
      </c>
      <c r="C18" t="str">
        <f>IF(B18="western",randomselection(Ingredient!$A$2:$A$18),IF(B18="asian",randomselection(Ingredient!$B$2:$B$18),IF(B18="fusion",randomselection(Ingredient!$C$2:$C$18),IF(B18="asian",randomselection(Ingredient!$B$2:$B$18),IF(B18="vegetable",randomselection(Ingredient!$D$2:$D$18),randomselection(Ingredient!$E$2:$E$18))))))</f>
        <v>brandy</v>
      </c>
      <c r="D18" t="str">
        <f>VLOOKUP(IngredientGenerator!C18,Ingredient!$A$21:$F$111,2,FALSE)</f>
        <v>bottle</v>
      </c>
      <c r="E18" t="s">
        <v>116</v>
      </c>
      <c r="F18" t="str">
        <f t="shared" si="0"/>
        <v>brandy is a very nice food and beverage category that is categorized under beverage cuisine</v>
      </c>
      <c r="G18">
        <f>VLOOKUP(IngredientGenerator!C18,Ingredient!$A$21:$F$111,6,FALSE)</f>
        <v>10.7</v>
      </c>
    </row>
    <row r="19" spans="1:7" x14ac:dyDescent="0.25">
      <c r="A19">
        <v>23</v>
      </c>
      <c r="B19" t="s">
        <v>112</v>
      </c>
      <c r="C19" t="str">
        <f>IF(B19="western",randomselection(Ingredient!$A$2:$A$18),IF(B19="asian",randomselection(Ingredient!$B$2:$B$18),IF(B19="fusion",randomselection(Ingredient!$C$2:$C$18),IF(B19="asian",randomselection(Ingredient!$B$2:$B$18),IF(B19="vegetable",randomselection(Ingredient!$D$2:$D$18),randomselection(Ingredient!$E$2:$E$18))))))</f>
        <v>poppy seeds</v>
      </c>
      <c r="D19" t="str">
        <f>VLOOKUP(IngredientGenerator!C19,Ingredient!$A$21:$F$111,2,FALSE)</f>
        <v>can</v>
      </c>
      <c r="E19" t="s">
        <v>112</v>
      </c>
      <c r="F19" t="str">
        <f t="shared" si="0"/>
        <v>poppy seeds is a very nice food and beverage category that is categorized under western cuisine</v>
      </c>
      <c r="G19">
        <f>VLOOKUP(IngredientGenerator!C19,Ingredient!$A$21:$F$111,6,FALSE)</f>
        <v>3.7</v>
      </c>
    </row>
    <row r="20" spans="1:7" x14ac:dyDescent="0.25">
      <c r="A20">
        <v>24</v>
      </c>
      <c r="B20" t="s">
        <v>112</v>
      </c>
      <c r="C20" t="str">
        <f>IF(B20="western",randomselection(Ingredient!$A$2:$A$18),IF(B20="asian",randomselection(Ingredient!$B$2:$B$18),IF(B20="fusion",randomselection(Ingredient!$C$2:$C$18),IF(B20="asian",randomselection(Ingredient!$B$2:$B$18),IF(B20="vegetable",randomselection(Ingredient!$D$2:$D$18),randomselection(Ingredient!$E$2:$E$18))))))</f>
        <v>steak</v>
      </c>
      <c r="D20" t="str">
        <f>VLOOKUP(IngredientGenerator!C20,Ingredient!$A$21:$F$111,2,FALSE)</f>
        <v>piece</v>
      </c>
      <c r="E20" t="s">
        <v>112</v>
      </c>
      <c r="F20" t="str">
        <f t="shared" si="0"/>
        <v>steak is a very nice food and beverage category that is categorized under western cuisine</v>
      </c>
      <c r="G20">
        <f>VLOOKUP(IngredientGenerator!C20,Ingredient!$A$21:$F$111,6,FALSE)</f>
        <v>4.5</v>
      </c>
    </row>
    <row r="21" spans="1:7" x14ac:dyDescent="0.25">
      <c r="A21">
        <v>25</v>
      </c>
      <c r="B21" t="s">
        <v>113</v>
      </c>
      <c r="C21" t="str">
        <f>IF(B21="western",randomselection(Ingredient!$A$2:$A$18),IF(B21="asian",randomselection(Ingredient!$B$2:$B$18),IF(B21="fusion",randomselection(Ingredient!$C$2:$C$18),IF(B21="asian",randomselection(Ingredient!$B$2:$B$18),IF(B21="vegetable",randomselection(Ingredient!$D$2:$D$18),randomselection(Ingredient!$E$2:$E$18))))))</f>
        <v>salmon</v>
      </c>
      <c r="D21" t="str">
        <f>VLOOKUP(IngredientGenerator!C21,Ingredient!$A$21:$F$111,2,FALSE)</f>
        <v>piece</v>
      </c>
      <c r="E21" t="s">
        <v>113</v>
      </c>
      <c r="F21" t="str">
        <f t="shared" si="0"/>
        <v>salmon is a very nice food and beverage category that is categorized under asian cuisine</v>
      </c>
      <c r="G21">
        <f>VLOOKUP(IngredientGenerator!C21,Ingredient!$A$21:$F$111,6,FALSE)</f>
        <v>5.8</v>
      </c>
    </row>
    <row r="22" spans="1:7" x14ac:dyDescent="0.25">
      <c r="A22">
        <v>26</v>
      </c>
      <c r="B22" t="s">
        <v>112</v>
      </c>
      <c r="C22" t="str">
        <f>IF(B22="western",randomselection(Ingredient!$A$2:$A$18),IF(B22="asian",randomselection(Ingredient!$B$2:$B$18),IF(B22="fusion",randomselection(Ingredient!$C$2:$C$18),IF(B22="asian",randomselection(Ingredient!$B$2:$B$18),IF(B22="vegetable",randomselection(Ingredient!$D$2:$D$18),randomselection(Ingredient!$E$2:$E$18))))))</f>
        <v>steak</v>
      </c>
      <c r="D22" t="str">
        <f>VLOOKUP(IngredientGenerator!C22,Ingredient!$A$21:$F$111,2,FALSE)</f>
        <v>piece</v>
      </c>
      <c r="E22" t="s">
        <v>112</v>
      </c>
      <c r="F22" t="str">
        <f t="shared" si="0"/>
        <v>steak is a very nice food and beverage category that is categorized under western cuisine</v>
      </c>
      <c r="G22">
        <f>VLOOKUP(IngredientGenerator!C22,Ingredient!$A$21:$F$111,6,FALSE)</f>
        <v>4.5</v>
      </c>
    </row>
    <row r="23" spans="1:7" x14ac:dyDescent="0.25">
      <c r="A23">
        <v>27</v>
      </c>
      <c r="B23" t="s">
        <v>112</v>
      </c>
      <c r="C23" t="str">
        <f>IF(B23="western",randomselection(Ingredient!$A$2:$A$18),IF(B23="asian",randomselection(Ingredient!$B$2:$B$18),IF(B23="fusion",randomselection(Ingredient!$C$2:$C$18),IF(B23="asian",randomselection(Ingredient!$B$2:$B$18),IF(B23="vegetable",randomselection(Ingredient!$D$2:$D$18),randomselection(Ingredient!$E$2:$E$18))))))</f>
        <v>steak</v>
      </c>
      <c r="D23" t="str">
        <f>VLOOKUP(IngredientGenerator!C23,Ingredient!$A$21:$F$111,2,FALSE)</f>
        <v>piece</v>
      </c>
      <c r="E23" t="s">
        <v>112</v>
      </c>
      <c r="F23" t="str">
        <f t="shared" si="0"/>
        <v>steak is a very nice food and beverage category that is categorized under western cuisine</v>
      </c>
      <c r="G23">
        <f>VLOOKUP(IngredientGenerator!C23,Ingredient!$A$21:$F$111,6,FALSE)</f>
        <v>4.5</v>
      </c>
    </row>
    <row r="24" spans="1:7" x14ac:dyDescent="0.25">
      <c r="A24">
        <v>28</v>
      </c>
      <c r="B24" t="s">
        <v>114</v>
      </c>
      <c r="C24" t="str">
        <f>IF(B24="western",randomselection(Ingredient!$A$2:$A$18),IF(B24="asian",randomselection(Ingredient!$B$2:$B$18),IF(B24="fusion",randomselection(Ingredient!$C$2:$C$18),IF(B24="asian",randomselection(Ingredient!$B$2:$B$18),IF(B24="vegetable",randomselection(Ingredient!$D$2:$D$18),randomselection(Ingredient!$E$2:$E$18))))))</f>
        <v>apples</v>
      </c>
      <c r="D24" t="str">
        <f>VLOOKUP(IngredientGenerator!C24,Ingredient!$A$21:$F$111,2,FALSE)</f>
        <v>package</v>
      </c>
      <c r="E24" t="s">
        <v>114</v>
      </c>
      <c r="F24" t="str">
        <f t="shared" si="0"/>
        <v>apples is a very nice food and beverage category that is categorized under fusion cuisine</v>
      </c>
      <c r="G24">
        <f>VLOOKUP(IngredientGenerator!C24,Ingredient!$A$21:$F$111,6,FALSE)</f>
        <v>2.5</v>
      </c>
    </row>
    <row r="25" spans="1:7" x14ac:dyDescent="0.25">
      <c r="A25">
        <v>29</v>
      </c>
      <c r="B25" t="s">
        <v>114</v>
      </c>
      <c r="C25" t="str">
        <f>IF(B25="western",randomselection(Ingredient!$A$2:$A$18),IF(B25="asian",randomselection(Ingredient!$B$2:$B$18),IF(B25="fusion",randomselection(Ingredient!$C$2:$C$18),IF(B25="asian",randomselection(Ingredient!$B$2:$B$18),IF(B25="vegetable",randomselection(Ingredient!$D$2:$D$18),randomselection(Ingredient!$E$2:$E$18))))))</f>
        <v>feta cheese</v>
      </c>
      <c r="D25" t="str">
        <f>VLOOKUP(IngredientGenerator!C25,Ingredient!$A$21:$F$111,2,FALSE)</f>
        <v>package</v>
      </c>
      <c r="E25" t="s">
        <v>114</v>
      </c>
      <c r="F25" t="str">
        <f t="shared" si="0"/>
        <v>feta cheese is a very nice food and beverage category that is categorized under fusion cuisine</v>
      </c>
      <c r="G25">
        <f>VLOOKUP(IngredientGenerator!C25,Ingredient!$A$21:$F$111,6,FALSE)</f>
        <v>1.7</v>
      </c>
    </row>
    <row r="26" spans="1:7" x14ac:dyDescent="0.25">
      <c r="A26">
        <v>30</v>
      </c>
      <c r="B26" t="s">
        <v>116</v>
      </c>
      <c r="C26" t="str">
        <f>IF(B26="western",randomselection(Ingredient!$A$2:$A$18),IF(B26="asian",randomselection(Ingredient!$B$2:$B$18),IF(B26="fusion",randomselection(Ingredient!$C$2:$C$18),IF(B26="asian",randomselection(Ingredient!$B$2:$B$18),IF(B26="vegetable",randomselection(Ingredient!$D$2:$D$18),randomselection(Ingredient!$E$2:$E$18))))))</f>
        <v>Marsala</v>
      </c>
      <c r="D26" t="str">
        <f>VLOOKUP(IngredientGenerator!C26,Ingredient!$A$21:$F$111,2,FALSE)</f>
        <v>can</v>
      </c>
      <c r="E26" t="s">
        <v>116</v>
      </c>
      <c r="F26" t="str">
        <f t="shared" si="0"/>
        <v>Marsala is a very nice food and beverage category that is categorized under beverage cuisine</v>
      </c>
      <c r="G26">
        <f>VLOOKUP(IngredientGenerator!C26,Ingredient!$A$21:$F$111,6,FALSE)</f>
        <v>5.0999999999999996</v>
      </c>
    </row>
    <row r="27" spans="1:7" x14ac:dyDescent="0.25">
      <c r="A27">
        <v>31</v>
      </c>
      <c r="B27" t="s">
        <v>116</v>
      </c>
      <c r="C27" t="str">
        <f>IF(B27="western",randomselection(Ingredient!$A$2:$A$18),IF(B27="asian",randomselection(Ingredient!$B$2:$B$18),IF(B27="fusion",randomselection(Ingredient!$C$2:$C$18),IF(B27="asian",randomselection(Ingredient!$B$2:$B$18),IF(B27="vegetable",randomselection(Ingredient!$D$2:$D$18),randomselection(Ingredient!$E$2:$E$18))))))</f>
        <v>arugula</v>
      </c>
      <c r="D27" t="str">
        <f>VLOOKUP(IngredientGenerator!C27,Ingredient!$A$21:$F$111,2,FALSE)</f>
        <v>package</v>
      </c>
      <c r="E27" t="s">
        <v>116</v>
      </c>
      <c r="F27" t="str">
        <f t="shared" si="0"/>
        <v>arugula is a very nice food and beverage category that is categorized under beverage cuisine</v>
      </c>
      <c r="G27">
        <f>VLOOKUP(IngredientGenerator!C27,Ingredient!$A$21:$F$111,6,FALSE)</f>
        <v>2.8</v>
      </c>
    </row>
    <row r="28" spans="1:7" x14ac:dyDescent="0.25">
      <c r="A28">
        <v>32</v>
      </c>
      <c r="B28" t="s">
        <v>114</v>
      </c>
      <c r="C28" t="str">
        <f>IF(B28="western",randomselection(Ingredient!$A$2:$A$18),IF(B28="asian",randomselection(Ingredient!$B$2:$B$18),IF(B28="fusion",randomselection(Ingredient!$C$2:$C$18),IF(B28="asian",randomselection(Ingredient!$B$2:$B$18),IF(B28="vegetable",randomselection(Ingredient!$D$2:$D$18),randomselection(Ingredient!$E$2:$E$18))))))</f>
        <v>feta cheese</v>
      </c>
      <c r="D28" t="str">
        <f>VLOOKUP(IngredientGenerator!C28,Ingredient!$A$21:$F$111,2,FALSE)</f>
        <v>package</v>
      </c>
      <c r="E28" t="s">
        <v>114</v>
      </c>
      <c r="F28" t="str">
        <f t="shared" si="0"/>
        <v>feta cheese is a very nice food and beverage category that is categorized under fusion cuisine</v>
      </c>
      <c r="G28">
        <f>VLOOKUP(IngredientGenerator!C28,Ingredient!$A$21:$F$111,6,FALSE)</f>
        <v>1.7</v>
      </c>
    </row>
    <row r="29" spans="1:7" x14ac:dyDescent="0.25">
      <c r="A29">
        <v>33</v>
      </c>
      <c r="B29" t="s">
        <v>112</v>
      </c>
      <c r="C29" t="str">
        <f>IF(B29="western",randomselection(Ingredient!$A$2:$A$18),IF(B29="asian",randomselection(Ingredient!$B$2:$B$18),IF(B29="fusion",randomselection(Ingredient!$C$2:$C$18),IF(B29="asian",randomselection(Ingredient!$B$2:$B$18),IF(B29="vegetable",randomselection(Ingredient!$D$2:$D$18),randomselection(Ingredient!$E$2:$E$18))))))</f>
        <v>pasta</v>
      </c>
      <c r="D29" t="str">
        <f>VLOOKUP(IngredientGenerator!C29,Ingredient!$A$21:$F$111,2,FALSE)</f>
        <v>can</v>
      </c>
      <c r="E29" t="s">
        <v>112</v>
      </c>
      <c r="F29" t="str">
        <f t="shared" si="0"/>
        <v>pasta is a very nice food and beverage category that is categorized under western cuisine</v>
      </c>
      <c r="G29">
        <f>VLOOKUP(IngredientGenerator!C29,Ingredient!$A$21:$F$111,6,FALSE)</f>
        <v>3</v>
      </c>
    </row>
    <row r="30" spans="1:7" x14ac:dyDescent="0.25">
      <c r="A30">
        <v>34</v>
      </c>
      <c r="B30" t="s">
        <v>112</v>
      </c>
      <c r="C30" t="str">
        <f>IF(B30="western",randomselection(Ingredient!$A$2:$A$18),IF(B30="asian",randomselection(Ingredient!$B$2:$B$18),IF(B30="fusion",randomselection(Ingredient!$C$2:$C$18),IF(B30="asian",randomselection(Ingredient!$B$2:$B$18),IF(B30="vegetable",randomselection(Ingredient!$D$2:$D$18),randomselection(Ingredient!$E$2:$E$18))))))</f>
        <v>bean threads</v>
      </c>
      <c r="D30" t="str">
        <f>VLOOKUP(IngredientGenerator!C30,Ingredient!$A$21:$F$111,2,FALSE)</f>
        <v>can</v>
      </c>
      <c r="E30" t="s">
        <v>112</v>
      </c>
      <c r="F30" t="str">
        <f t="shared" si="0"/>
        <v>bean threads is a very nice food and beverage category that is categorized under western cuisine</v>
      </c>
      <c r="G30">
        <f>VLOOKUP(IngredientGenerator!C30,Ingredient!$A$21:$F$111,6,FALSE)</f>
        <v>4.8</v>
      </c>
    </row>
    <row r="31" spans="1:7" x14ac:dyDescent="0.25">
      <c r="A31">
        <v>35</v>
      </c>
      <c r="B31" t="s">
        <v>113</v>
      </c>
      <c r="C31" t="str">
        <f>IF(B31="western",randomselection(Ingredient!$A$2:$A$18),IF(B31="asian",randomselection(Ingredient!$B$2:$B$18),IF(B31="fusion",randomselection(Ingredient!$C$2:$C$18),IF(B31="asian",randomselection(Ingredient!$B$2:$B$18),IF(B31="vegetable",randomselection(Ingredient!$D$2:$D$18),randomselection(Ingredient!$E$2:$E$18))))))</f>
        <v>corn</v>
      </c>
      <c r="D31" t="str">
        <f>VLOOKUP(IngredientGenerator!C31,Ingredient!$A$21:$F$111,2,FALSE)</f>
        <v>can</v>
      </c>
      <c r="E31" t="s">
        <v>113</v>
      </c>
      <c r="F31" t="str">
        <f t="shared" si="0"/>
        <v>corn is a very nice food and beverage category that is categorized under asian cuisine</v>
      </c>
      <c r="G31">
        <f>VLOOKUP(IngredientGenerator!C31,Ingredient!$A$21:$F$111,6,FALSE)</f>
        <v>5.0999999999999996</v>
      </c>
    </row>
    <row r="32" spans="1:7" x14ac:dyDescent="0.25">
      <c r="A32">
        <v>36</v>
      </c>
      <c r="B32" t="s">
        <v>112</v>
      </c>
      <c r="C32" t="str">
        <f>IF(B32="western",randomselection(Ingredient!$A$2:$A$18),IF(B32="asian",randomselection(Ingredient!$B$2:$B$18),IF(B32="fusion",randomselection(Ingredient!$C$2:$C$18),IF(B32="asian",randomselection(Ingredient!$B$2:$B$18),IF(B32="vegetable",randomselection(Ingredient!$D$2:$D$18),randomselection(Ingredient!$E$2:$E$18))))))</f>
        <v>steak</v>
      </c>
      <c r="D32" t="str">
        <f>VLOOKUP(IngredientGenerator!C32,Ingredient!$A$21:$F$111,2,FALSE)</f>
        <v>piece</v>
      </c>
      <c r="E32" t="s">
        <v>112</v>
      </c>
      <c r="F32" t="str">
        <f t="shared" si="0"/>
        <v>steak is a very nice food and beverage category that is categorized under western cuisine</v>
      </c>
      <c r="G32">
        <f>VLOOKUP(IngredientGenerator!C32,Ingredient!$A$21:$F$111,6,FALSE)</f>
        <v>4.5</v>
      </c>
    </row>
    <row r="33" spans="1:7" x14ac:dyDescent="0.25">
      <c r="A33">
        <v>37</v>
      </c>
      <c r="B33" t="s">
        <v>115</v>
      </c>
      <c r="C33" t="str">
        <f>IF(B33="western",randomselection(Ingredient!$A$2:$A$18),IF(B33="asian",randomselection(Ingredient!$B$2:$B$18),IF(B33="fusion",randomselection(Ingredient!$C$2:$C$18),IF(B33="asian",randomselection(Ingredient!$B$2:$B$18),IF(B33="vegetable",randomselection(Ingredient!$D$2:$D$18),randomselection(Ingredient!$E$2:$E$18))))))</f>
        <v>cornstarch</v>
      </c>
      <c r="D33" t="str">
        <f>VLOOKUP(IngredientGenerator!C33,Ingredient!$A$21:$F$111,2,FALSE)</f>
        <v>can</v>
      </c>
      <c r="E33" t="s">
        <v>115</v>
      </c>
      <c r="F33" t="str">
        <f t="shared" si="0"/>
        <v>cornstarch is a very nice food and beverage category that is categorized under vegetable cuisine</v>
      </c>
      <c r="G33">
        <f>VLOOKUP(IngredientGenerator!C33,Ingredient!$A$21:$F$111,6,FALSE)</f>
        <v>3.9</v>
      </c>
    </row>
    <row r="34" spans="1:7" x14ac:dyDescent="0.25">
      <c r="A34">
        <v>38</v>
      </c>
      <c r="B34" t="s">
        <v>114</v>
      </c>
      <c r="C34" t="str">
        <f>IF(B34="western",randomselection(Ingredient!$A$2:$A$18),IF(B34="asian",randomselection(Ingredient!$B$2:$B$18),IF(B34="fusion",randomselection(Ingredient!$C$2:$C$18),IF(B34="asian",randomselection(Ingredient!$B$2:$B$18),IF(B34="vegetable",randomselection(Ingredient!$D$2:$D$18),randomselection(Ingredient!$E$2:$E$18))))))</f>
        <v>pumpkin seeds</v>
      </c>
      <c r="D34" t="str">
        <f>VLOOKUP(IngredientGenerator!C34,Ingredient!$A$21:$F$111,2,FALSE)</f>
        <v>package</v>
      </c>
      <c r="E34" t="s">
        <v>114</v>
      </c>
      <c r="F34" t="str">
        <f t="shared" si="0"/>
        <v>pumpkin seeds is a very nice food and beverage category that is categorized under fusion cuisine</v>
      </c>
      <c r="G34">
        <f>VLOOKUP(IngredientGenerator!C34,Ingredient!$A$21:$F$111,6,FALSE)</f>
        <v>3.4</v>
      </c>
    </row>
    <row r="35" spans="1:7" x14ac:dyDescent="0.25">
      <c r="A35">
        <v>39</v>
      </c>
      <c r="B35" t="s">
        <v>114</v>
      </c>
      <c r="C35" t="str">
        <f>IF(B35="western",randomselection(Ingredient!$A$2:$A$18),IF(B35="asian",randomselection(Ingredient!$B$2:$B$18),IF(B35="fusion",randomselection(Ingredient!$C$2:$C$18),IF(B35="asian",randomselection(Ingredient!$B$2:$B$18),IF(B35="vegetable",randomselection(Ingredient!$D$2:$D$18),randomselection(Ingredient!$E$2:$E$18))))))</f>
        <v>feta cheese</v>
      </c>
      <c r="D35" t="str">
        <f>VLOOKUP(IngredientGenerator!C35,Ingredient!$A$21:$F$111,2,FALSE)</f>
        <v>package</v>
      </c>
      <c r="E35" t="s">
        <v>114</v>
      </c>
      <c r="F35" t="str">
        <f t="shared" si="0"/>
        <v>feta cheese is a very nice food and beverage category that is categorized under fusion cuisine</v>
      </c>
      <c r="G35">
        <f>VLOOKUP(IngredientGenerator!C35,Ingredient!$A$21:$F$111,6,FALSE)</f>
        <v>1.7</v>
      </c>
    </row>
    <row r="36" spans="1:7" x14ac:dyDescent="0.25">
      <c r="A36">
        <v>40</v>
      </c>
      <c r="B36" t="s">
        <v>113</v>
      </c>
      <c r="C36" t="str">
        <f>IF(B36="western",randomselection(Ingredient!$A$2:$A$18),IF(B36="asian",randomselection(Ingredient!$B$2:$B$18),IF(B36="fusion",randomselection(Ingredient!$C$2:$C$18),IF(B36="asian",randomselection(Ingredient!$B$2:$B$18),IF(B36="vegetable",randomselection(Ingredient!$D$2:$D$18),randomselection(Ingredient!$E$2:$E$18))))))</f>
        <v>lettuce</v>
      </c>
      <c r="D36" t="str">
        <f>VLOOKUP(IngredientGenerator!C36,Ingredient!$A$21:$F$111,2,FALSE)</f>
        <v>package</v>
      </c>
      <c r="E36" t="s">
        <v>113</v>
      </c>
      <c r="F36" t="str">
        <f t="shared" si="0"/>
        <v>lettuce is a very nice food and beverage category that is categorized under asian cuisine</v>
      </c>
      <c r="G36">
        <f>VLOOKUP(IngredientGenerator!C36,Ingredient!$A$21:$F$111,6,FALSE)</f>
        <v>2.6</v>
      </c>
    </row>
    <row r="37" spans="1:7" x14ac:dyDescent="0.25">
      <c r="A37">
        <v>41</v>
      </c>
      <c r="B37" t="s">
        <v>115</v>
      </c>
      <c r="C37" t="str">
        <f>IF(B37="western",randomselection(Ingredient!$A$2:$A$18),IF(B37="asian",randomselection(Ingredient!$B$2:$B$18),IF(B37="fusion",randomselection(Ingredient!$C$2:$C$18),IF(B37="asian",randomselection(Ingredient!$B$2:$B$18),IF(B37="vegetable",randomselection(Ingredient!$D$2:$D$18),randomselection(Ingredient!$E$2:$E$18))))))</f>
        <v>flax seed</v>
      </c>
      <c r="D37" t="str">
        <f>VLOOKUP(IngredientGenerator!C37,Ingredient!$A$21:$F$111,2,FALSE)</f>
        <v>can</v>
      </c>
      <c r="E37" t="s">
        <v>115</v>
      </c>
      <c r="F37" t="str">
        <f t="shared" si="0"/>
        <v>flax seed is a very nice food and beverage category that is categorized under vegetable cuisine</v>
      </c>
      <c r="G37">
        <f>VLOOKUP(IngredientGenerator!C37,Ingredient!$A$21:$F$111,6,FALSE)</f>
        <v>1.6</v>
      </c>
    </row>
    <row r="38" spans="1:7" x14ac:dyDescent="0.25">
      <c r="A38">
        <v>42</v>
      </c>
      <c r="B38" t="s">
        <v>114</v>
      </c>
      <c r="C38" t="str">
        <f>IF(B38="western",randomselection(Ingredient!$A$2:$A$18),IF(B38="asian",randomselection(Ingredient!$B$2:$B$18),IF(B38="fusion",randomselection(Ingredient!$C$2:$C$18),IF(B38="asian",randomselection(Ingredient!$B$2:$B$18),IF(B38="vegetable",randomselection(Ingredient!$D$2:$D$18),randomselection(Ingredient!$E$2:$E$18))))))</f>
        <v>ricotta cheese</v>
      </c>
      <c r="D38" t="str">
        <f>VLOOKUP(IngredientGenerator!C38,Ingredient!$A$21:$F$111,2,FALSE)</f>
        <v>package</v>
      </c>
      <c r="E38" t="s">
        <v>114</v>
      </c>
      <c r="F38" t="str">
        <f t="shared" si="0"/>
        <v>ricotta cheese is a very nice food and beverage category that is categorized under fusion cuisine</v>
      </c>
      <c r="G38">
        <f>VLOOKUP(IngredientGenerator!C38,Ingredient!$A$21:$F$111,6,FALSE)</f>
        <v>1.4</v>
      </c>
    </row>
    <row r="39" spans="1:7" x14ac:dyDescent="0.25">
      <c r="A39">
        <v>43</v>
      </c>
      <c r="B39" t="s">
        <v>112</v>
      </c>
      <c r="C39" t="str">
        <f>IF(B39="western",randomselection(Ingredient!$A$2:$A$18),IF(B39="asian",randomselection(Ingredient!$B$2:$B$18),IF(B39="fusion",randomselection(Ingredient!$C$2:$C$18),IF(B39="asian",randomselection(Ingredient!$B$2:$B$18),IF(B39="vegetable",randomselection(Ingredient!$D$2:$D$18),randomselection(Ingredient!$E$2:$E$18))))))</f>
        <v>Canadian bacon</v>
      </c>
      <c r="D39" t="str">
        <f>VLOOKUP(IngredientGenerator!C39,Ingredient!$A$21:$F$111,2,FALSE)</f>
        <v>piece</v>
      </c>
      <c r="E39" t="s">
        <v>112</v>
      </c>
      <c r="F39" t="str">
        <f t="shared" si="0"/>
        <v>Canadian bacon is a very nice food and beverage category that is categorized under western cuisine</v>
      </c>
      <c r="G39">
        <f>VLOOKUP(IngredientGenerator!C39,Ingredient!$A$21:$F$111,6,FALSE)</f>
        <v>1.5</v>
      </c>
    </row>
    <row r="40" spans="1:7" x14ac:dyDescent="0.25">
      <c r="A40">
        <v>44</v>
      </c>
      <c r="B40" t="s">
        <v>112</v>
      </c>
      <c r="C40" t="str">
        <f>IF(B40="western",randomselection(Ingredient!$A$2:$A$18),IF(B40="asian",randomselection(Ingredient!$B$2:$B$18),IF(B40="fusion",randomselection(Ingredient!$C$2:$C$18),IF(B40="asian",randomselection(Ingredient!$B$2:$B$18),IF(B40="vegetable",randomselection(Ingredient!$D$2:$D$18),randomselection(Ingredient!$E$2:$E$18))))))</f>
        <v>bean threads</v>
      </c>
      <c r="D40" t="str">
        <f>VLOOKUP(IngredientGenerator!C40,Ingredient!$A$21:$F$111,2,FALSE)</f>
        <v>can</v>
      </c>
      <c r="E40" t="s">
        <v>112</v>
      </c>
      <c r="F40" t="str">
        <f t="shared" si="0"/>
        <v>bean threads is a very nice food and beverage category that is categorized under western cuisine</v>
      </c>
      <c r="G40">
        <f>VLOOKUP(IngredientGenerator!C40,Ingredient!$A$21:$F$111,6,FALSE)</f>
        <v>4.8</v>
      </c>
    </row>
    <row r="41" spans="1:7" x14ac:dyDescent="0.25">
      <c r="A41">
        <v>45</v>
      </c>
      <c r="B41" t="s">
        <v>112</v>
      </c>
      <c r="C41" t="str">
        <f>IF(B41="western",randomselection(Ingredient!$A$2:$A$18),IF(B41="asian",randomselection(Ingredient!$B$2:$B$18),IF(B41="fusion",randomselection(Ingredient!$C$2:$C$18),IF(B41="asian",randomselection(Ingredient!$B$2:$B$18),IF(B41="vegetable",randomselection(Ingredient!$D$2:$D$18),randomselection(Ingredient!$E$2:$E$18))))))</f>
        <v>poppy seeds</v>
      </c>
      <c r="D41" t="str">
        <f>VLOOKUP(IngredientGenerator!C41,Ingredient!$A$21:$F$111,2,FALSE)</f>
        <v>can</v>
      </c>
      <c r="E41" t="s">
        <v>112</v>
      </c>
      <c r="F41" t="str">
        <f t="shared" si="0"/>
        <v>poppy seeds is a very nice food and beverage category that is categorized under western cuisine</v>
      </c>
      <c r="G41">
        <f>VLOOKUP(IngredientGenerator!C41,Ingredient!$A$21:$F$111,6,FALSE)</f>
        <v>3.7</v>
      </c>
    </row>
    <row r="42" spans="1:7" x14ac:dyDescent="0.25">
      <c r="A42">
        <v>46</v>
      </c>
      <c r="B42" t="s">
        <v>115</v>
      </c>
      <c r="C42" t="str">
        <f>IF(B42="western",randomselection(Ingredient!$A$2:$A$18),IF(B42="asian",randomselection(Ingredient!$B$2:$B$18),IF(B42="fusion",randomselection(Ingredient!$C$2:$C$18),IF(B42="asian",randomselection(Ingredient!$B$2:$B$18),IF(B42="vegetable",randomselection(Ingredient!$D$2:$D$18),randomselection(Ingredient!$E$2:$E$18))))))</f>
        <v>granola</v>
      </c>
      <c r="D42" t="str">
        <f>VLOOKUP(IngredientGenerator!C42,Ingredient!$A$21:$F$111,2,FALSE)</f>
        <v>can</v>
      </c>
      <c r="E42" t="s">
        <v>115</v>
      </c>
      <c r="F42" t="str">
        <f t="shared" si="0"/>
        <v>granola is a very nice food and beverage category that is categorized under vegetable cuisine</v>
      </c>
      <c r="G42">
        <f>VLOOKUP(IngredientGenerator!C42,Ingredient!$A$21:$F$111,6,FALSE)</f>
        <v>1.8</v>
      </c>
    </row>
    <row r="43" spans="1:7" x14ac:dyDescent="0.25">
      <c r="A43">
        <v>47</v>
      </c>
      <c r="B43" t="s">
        <v>114</v>
      </c>
      <c r="C43" t="str">
        <f>IF(B43="western",randomselection(Ingredient!$A$2:$A$18),IF(B43="asian",randomselection(Ingredient!$B$2:$B$18),IF(B43="fusion",randomselection(Ingredient!$C$2:$C$18),IF(B43="asian",randomselection(Ingredient!$B$2:$B$18),IF(B43="vegetable",randomselection(Ingredient!$D$2:$D$18),randomselection(Ingredient!$E$2:$E$18))))))</f>
        <v>cottage cheese</v>
      </c>
      <c r="D43" t="str">
        <f>VLOOKUP(IngredientGenerator!C43,Ingredient!$A$21:$F$111,2,FALSE)</f>
        <v>package</v>
      </c>
      <c r="E43" t="s">
        <v>114</v>
      </c>
      <c r="F43" t="str">
        <f t="shared" si="0"/>
        <v>cottage cheese is a very nice food and beverage category that is categorized under fusion cuisine</v>
      </c>
      <c r="G43">
        <f>VLOOKUP(IngredientGenerator!C43,Ingredient!$A$21:$F$111,6,FALSE)</f>
        <v>3.1</v>
      </c>
    </row>
    <row r="44" spans="1:7" x14ac:dyDescent="0.25">
      <c r="A44">
        <v>48</v>
      </c>
      <c r="B44" t="s">
        <v>114</v>
      </c>
      <c r="C44" t="str">
        <f>IF(B44="western",randomselection(Ingredient!$A$2:$A$18),IF(B44="asian",randomselection(Ingredient!$B$2:$B$18),IF(B44="fusion",randomselection(Ingredient!$C$2:$C$18),IF(B44="asian",randomselection(Ingredient!$B$2:$B$18),IF(B44="vegetable",randomselection(Ingredient!$D$2:$D$18),randomselection(Ingredient!$E$2:$E$18))))))</f>
        <v>colby cheese</v>
      </c>
      <c r="D44" t="str">
        <f>VLOOKUP(IngredientGenerator!C44,Ingredient!$A$21:$F$111,2,FALSE)</f>
        <v>package</v>
      </c>
      <c r="E44" t="s">
        <v>114</v>
      </c>
      <c r="F44" t="str">
        <f t="shared" si="0"/>
        <v>colby cheese is a very nice food and beverage category that is categorized under fusion cuisine</v>
      </c>
      <c r="G44">
        <f>VLOOKUP(IngredientGenerator!C44,Ingredient!$A$21:$F$111,6,FALSE)</f>
        <v>2.2000000000000002</v>
      </c>
    </row>
    <row r="45" spans="1:7" x14ac:dyDescent="0.25">
      <c r="A45">
        <v>49</v>
      </c>
      <c r="B45" t="s">
        <v>114</v>
      </c>
      <c r="C45" t="str">
        <f>IF(B45="western",randomselection(Ingredient!$A$2:$A$18),IF(B45="asian",randomselection(Ingredient!$B$2:$B$18),IF(B45="fusion",randomselection(Ingredient!$C$2:$C$18),IF(B45="asian",randomselection(Ingredient!$B$2:$B$18),IF(B45="vegetable",randomselection(Ingredient!$D$2:$D$18),randomselection(Ingredient!$E$2:$E$18))))))</f>
        <v>peaches</v>
      </c>
      <c r="D45" t="str">
        <f>VLOOKUP(IngredientGenerator!C45,Ingredient!$A$21:$F$111,2,FALSE)</f>
        <v>can</v>
      </c>
      <c r="E45" t="s">
        <v>114</v>
      </c>
      <c r="F45" t="str">
        <f t="shared" si="0"/>
        <v>peaches is a very nice food and beverage category that is categorized under fusion cuisine</v>
      </c>
      <c r="G45">
        <f>VLOOKUP(IngredientGenerator!C45,Ingredient!$A$21:$F$111,6,FALSE)</f>
        <v>2.2000000000000002</v>
      </c>
    </row>
    <row r="46" spans="1:7" x14ac:dyDescent="0.25">
      <c r="A46">
        <v>50</v>
      </c>
      <c r="B46" t="s">
        <v>114</v>
      </c>
      <c r="C46" t="str">
        <f>IF(B46="western",randomselection(Ingredient!$A$2:$A$18),IF(B46="asian",randomselection(Ingredient!$B$2:$B$18),IF(B46="fusion",randomselection(Ingredient!$C$2:$C$18),IF(B46="asian",randomselection(Ingredient!$B$2:$B$18),IF(B46="vegetable",randomselection(Ingredient!$D$2:$D$18),randomselection(Ingredient!$E$2:$E$18))))))</f>
        <v>colby cheese</v>
      </c>
      <c r="D46" t="str">
        <f>VLOOKUP(IngredientGenerator!C46,Ingredient!$A$21:$F$111,2,FALSE)</f>
        <v>package</v>
      </c>
      <c r="E46" t="s">
        <v>114</v>
      </c>
      <c r="F46" t="str">
        <f t="shared" si="0"/>
        <v>colby cheese is a very nice food and beverage category that is categorized under fusion cuisine</v>
      </c>
      <c r="G46">
        <f>VLOOKUP(IngredientGenerator!C46,Ingredient!$A$21:$F$111,6,FALSE)</f>
        <v>2.2000000000000002</v>
      </c>
    </row>
    <row r="47" spans="1:7" x14ac:dyDescent="0.25">
      <c r="A47">
        <v>51</v>
      </c>
      <c r="B47" t="s">
        <v>114</v>
      </c>
      <c r="C47" t="str">
        <f>IF(B47="western",randomselection(Ingredient!$A$2:$A$18),IF(B47="asian",randomselection(Ingredient!$B$2:$B$18),IF(B47="fusion",randomselection(Ingredient!$C$2:$C$18),IF(B47="asian",randomselection(Ingredient!$B$2:$B$18),IF(B47="vegetable",randomselection(Ingredient!$D$2:$D$18),randomselection(Ingredient!$E$2:$E$18))))))</f>
        <v>cream cheese</v>
      </c>
      <c r="D47" t="str">
        <f>VLOOKUP(IngredientGenerator!C47,Ingredient!$A$21:$F$111,2,FALSE)</f>
        <v>package</v>
      </c>
      <c r="E47" t="s">
        <v>114</v>
      </c>
      <c r="F47" t="str">
        <f t="shared" si="0"/>
        <v>cream cheese is a very nice food and beverage category that is categorized under fusion cuisine</v>
      </c>
      <c r="G47">
        <f>VLOOKUP(IngredientGenerator!C47,Ingredient!$A$21:$F$111,6,FALSE)</f>
        <v>2.2000000000000002</v>
      </c>
    </row>
    <row r="48" spans="1:7" x14ac:dyDescent="0.25">
      <c r="A48">
        <v>52</v>
      </c>
      <c r="B48" t="s">
        <v>114</v>
      </c>
      <c r="C48" t="str">
        <f>IF(B48="western",randomselection(Ingredient!$A$2:$A$18),IF(B48="asian",randomselection(Ingredient!$B$2:$B$18),IF(B48="fusion",randomselection(Ingredient!$C$2:$C$18),IF(B48="asian",randomselection(Ingredient!$B$2:$B$18),IF(B48="vegetable",randomselection(Ingredient!$D$2:$D$18),randomselection(Ingredient!$E$2:$E$18))))))</f>
        <v>ricotta cheese</v>
      </c>
      <c r="D48" t="str">
        <f>VLOOKUP(IngredientGenerator!C48,Ingredient!$A$21:$F$111,2,FALSE)</f>
        <v>package</v>
      </c>
      <c r="E48" t="s">
        <v>114</v>
      </c>
      <c r="F48" t="str">
        <f t="shared" si="0"/>
        <v>ricotta cheese is a very nice food and beverage category that is categorized under fusion cuisine</v>
      </c>
      <c r="G48">
        <f>VLOOKUP(IngredientGenerator!C48,Ingredient!$A$21:$F$111,6,FALSE)</f>
        <v>1.4</v>
      </c>
    </row>
    <row r="49" spans="1:7" x14ac:dyDescent="0.25">
      <c r="A49">
        <v>53</v>
      </c>
      <c r="B49" t="s">
        <v>113</v>
      </c>
      <c r="C49" t="str">
        <f>IF(B49="western",randomselection(Ingredient!$A$2:$A$18),IF(B49="asian",randomselection(Ingredient!$B$2:$B$18),IF(B49="fusion",randomselection(Ingredient!$C$2:$C$18),IF(B49="asian",randomselection(Ingredient!$B$2:$B$18),IF(B49="vegetable",randomselection(Ingredient!$D$2:$D$18),randomselection(Ingredient!$E$2:$E$18))))))</f>
        <v>corn</v>
      </c>
      <c r="D49" t="str">
        <f>VLOOKUP(IngredientGenerator!C49,Ingredient!$A$21:$F$111,2,FALSE)</f>
        <v>can</v>
      </c>
      <c r="E49" t="s">
        <v>113</v>
      </c>
      <c r="F49" t="str">
        <f t="shared" si="0"/>
        <v>corn is a very nice food and beverage category that is categorized under asian cuisine</v>
      </c>
      <c r="G49">
        <f>VLOOKUP(IngredientGenerator!C49,Ingredient!$A$21:$F$111,6,FALSE)</f>
        <v>5.0999999999999996</v>
      </c>
    </row>
    <row r="50" spans="1:7" x14ac:dyDescent="0.25">
      <c r="A50">
        <v>54</v>
      </c>
      <c r="B50" t="s">
        <v>114</v>
      </c>
      <c r="C50" t="str">
        <f>IF(B50="western",randomselection(Ingredient!$A$2:$A$18),IF(B50="asian",randomselection(Ingredient!$B$2:$B$18),IF(B50="fusion",randomselection(Ingredient!$C$2:$C$18),IF(B50="asian",randomselection(Ingredient!$B$2:$B$18),IF(B50="vegetable",randomselection(Ingredient!$D$2:$D$18),randomselection(Ingredient!$E$2:$E$18))))))</f>
        <v>pumpkin seeds</v>
      </c>
      <c r="D50" t="str">
        <f>VLOOKUP(IngredientGenerator!C50,Ingredient!$A$21:$F$111,2,FALSE)</f>
        <v>package</v>
      </c>
      <c r="E50" t="s">
        <v>114</v>
      </c>
      <c r="F50" t="str">
        <f t="shared" si="0"/>
        <v>pumpkin seeds is a very nice food and beverage category that is categorized under fusion cuisine</v>
      </c>
      <c r="G50">
        <f>VLOOKUP(IngredientGenerator!C50,Ingredient!$A$21:$F$111,6,FALSE)</f>
        <v>3.4</v>
      </c>
    </row>
    <row r="51" spans="1:7" x14ac:dyDescent="0.25">
      <c r="A51">
        <v>55</v>
      </c>
      <c r="B51" t="s">
        <v>112</v>
      </c>
      <c r="C51" t="str">
        <f>IF(B51="western",randomselection(Ingredient!$A$2:$A$18),IF(B51="asian",randomselection(Ingredient!$B$2:$B$18),IF(B51="fusion",randomselection(Ingredient!$C$2:$C$18),IF(B51="asian",randomselection(Ingredient!$B$2:$B$18),IF(B51="vegetable",randomselection(Ingredient!$D$2:$D$18),randomselection(Ingredient!$E$2:$E$18))))))</f>
        <v>poppy seeds</v>
      </c>
      <c r="D51" t="str">
        <f>VLOOKUP(IngredientGenerator!C51,Ingredient!$A$21:$F$111,2,FALSE)</f>
        <v>can</v>
      </c>
      <c r="E51" t="s">
        <v>112</v>
      </c>
      <c r="F51" t="str">
        <f t="shared" si="0"/>
        <v>poppy seeds is a very nice food and beverage category that is categorized under western cuisine</v>
      </c>
      <c r="G51">
        <f>VLOOKUP(IngredientGenerator!C51,Ingredient!$A$21:$F$111,6,FALSE)</f>
        <v>3.7</v>
      </c>
    </row>
    <row r="52" spans="1:7" x14ac:dyDescent="0.25">
      <c r="A52">
        <v>56</v>
      </c>
      <c r="B52" t="s">
        <v>112</v>
      </c>
      <c r="C52" t="str">
        <f>IF(B52="western",randomselection(Ingredient!$A$2:$A$18),IF(B52="asian",randomselection(Ingredient!$B$2:$B$18),IF(B52="fusion",randomselection(Ingredient!$C$2:$C$18),IF(B52="asian",randomselection(Ingredient!$B$2:$B$18),IF(B52="vegetable",randomselection(Ingredient!$D$2:$D$18),randomselection(Ingredient!$E$2:$E$18))))))</f>
        <v>cream of tartar</v>
      </c>
      <c r="D52" t="str">
        <f>VLOOKUP(IngredientGenerator!C52,Ingredient!$A$21:$F$111,2,FALSE)</f>
        <v>can</v>
      </c>
      <c r="E52" t="s">
        <v>112</v>
      </c>
      <c r="F52" t="str">
        <f t="shared" si="0"/>
        <v>cream of tartar is a very nice food and beverage category that is categorized under western cuisine</v>
      </c>
      <c r="G52">
        <f>VLOOKUP(IngredientGenerator!C52,Ingredient!$A$21:$F$111,6,FALSE)</f>
        <v>2.2000000000000002</v>
      </c>
    </row>
    <row r="53" spans="1:7" x14ac:dyDescent="0.25">
      <c r="A53">
        <v>57</v>
      </c>
      <c r="B53" t="s">
        <v>116</v>
      </c>
      <c r="C53" t="str">
        <f>IF(B53="western",randomselection(Ingredient!$A$2:$A$18),IF(B53="asian",randomselection(Ingredient!$B$2:$B$18),IF(B53="fusion",randomselection(Ingredient!$C$2:$C$18),IF(B53="asian",randomselection(Ingredient!$B$2:$B$18),IF(B53="vegetable",randomselection(Ingredient!$D$2:$D$18),randomselection(Ingredient!$E$2:$E$18))))))</f>
        <v>broccoli</v>
      </c>
      <c r="D53" t="str">
        <f>VLOOKUP(IngredientGenerator!C53,Ingredient!$A$21:$F$111,2,FALSE)</f>
        <v>package</v>
      </c>
      <c r="E53" t="s">
        <v>116</v>
      </c>
      <c r="F53" t="str">
        <f t="shared" si="0"/>
        <v>broccoli is a very nice food and beverage category that is categorized under beverage cuisine</v>
      </c>
      <c r="G53">
        <f>VLOOKUP(IngredientGenerator!C53,Ingredient!$A$21:$F$111,6,FALSE)</f>
        <v>1.5</v>
      </c>
    </row>
    <row r="54" spans="1:7" x14ac:dyDescent="0.25">
      <c r="A54">
        <v>58</v>
      </c>
      <c r="B54" t="s">
        <v>112</v>
      </c>
      <c r="C54" t="str">
        <f>IF(B54="western",randomselection(Ingredient!$A$2:$A$18),IF(B54="asian",randomselection(Ingredient!$B$2:$B$18),IF(B54="fusion",randomselection(Ingredient!$C$2:$C$18),IF(B54="asian",randomselection(Ingredient!$B$2:$B$18),IF(B54="vegetable",randomselection(Ingredient!$D$2:$D$18),randomselection(Ingredient!$E$2:$E$18))))))</f>
        <v>french fries</v>
      </c>
      <c r="D54" t="str">
        <f>VLOOKUP(IngredientGenerator!C54,Ingredient!$A$21:$F$111,2,FALSE)</f>
        <v>package</v>
      </c>
      <c r="E54" t="s">
        <v>112</v>
      </c>
      <c r="F54" t="str">
        <f t="shared" si="0"/>
        <v>french fries is a very nice food and beverage category that is categorized under western cuisine</v>
      </c>
      <c r="G54">
        <f>VLOOKUP(IngredientGenerator!C54,Ingredient!$A$21:$F$111,6,FALSE)</f>
        <v>2.2000000000000002</v>
      </c>
    </row>
    <row r="55" spans="1:7" x14ac:dyDescent="0.25">
      <c r="A55">
        <v>59</v>
      </c>
      <c r="B55" t="s">
        <v>112</v>
      </c>
      <c r="C55" t="str">
        <f>IF(B55="western",randomselection(Ingredient!$A$2:$A$18),IF(B55="asian",randomselection(Ingredient!$B$2:$B$18),IF(B55="fusion",randomselection(Ingredient!$C$2:$C$18),IF(B55="asian",randomselection(Ingredient!$B$2:$B$18),IF(B55="vegetable",randomselection(Ingredient!$D$2:$D$18),randomselection(Ingredient!$E$2:$E$18))))))</f>
        <v>Canadian bacon</v>
      </c>
      <c r="D55" t="str">
        <f>VLOOKUP(IngredientGenerator!C55,Ingredient!$A$21:$F$111,2,FALSE)</f>
        <v>piece</v>
      </c>
      <c r="E55" t="s">
        <v>112</v>
      </c>
      <c r="F55" t="str">
        <f t="shared" si="0"/>
        <v>Canadian bacon is a very nice food and beverage category that is categorized under western cuisine</v>
      </c>
      <c r="G55">
        <f>VLOOKUP(IngredientGenerator!C55,Ingredient!$A$21:$F$111,6,FALSE)</f>
        <v>1.5</v>
      </c>
    </row>
    <row r="56" spans="1:7" x14ac:dyDescent="0.25">
      <c r="A56">
        <v>60</v>
      </c>
      <c r="B56" t="s">
        <v>113</v>
      </c>
      <c r="C56" t="str">
        <f>IF(B56="western",randomselection(Ingredient!$A$2:$A$18),IF(B56="asian",randomselection(Ingredient!$B$2:$B$18),IF(B56="fusion",randomselection(Ingredient!$C$2:$C$18),IF(B56="asian",randomselection(Ingredient!$B$2:$B$18),IF(B56="vegetable",randomselection(Ingredient!$D$2:$D$18),randomselection(Ingredient!$E$2:$E$18))))))</f>
        <v>borscht</v>
      </c>
      <c r="D56" t="str">
        <f>VLOOKUP(IngredientGenerator!C56,Ingredient!$A$21:$F$111,2,FALSE)</f>
        <v>bottle</v>
      </c>
      <c r="E56" t="s">
        <v>113</v>
      </c>
      <c r="F56" t="str">
        <f t="shared" si="0"/>
        <v>borscht is a very nice food and beverage category that is categorized under asian cuisine</v>
      </c>
      <c r="G56">
        <f>VLOOKUP(IngredientGenerator!C56,Ingredient!$A$21:$F$111,6,FALSE)</f>
        <v>5.4</v>
      </c>
    </row>
    <row r="57" spans="1:7" x14ac:dyDescent="0.25">
      <c r="A57">
        <v>61</v>
      </c>
      <c r="B57" t="s">
        <v>113</v>
      </c>
      <c r="C57" t="str">
        <f>IF(B57="western",randomselection(Ingredient!$A$2:$A$18),IF(B57="asian",randomselection(Ingredient!$B$2:$B$18),IF(B57="fusion",randomselection(Ingredient!$C$2:$C$18),IF(B57="asian",randomselection(Ingredient!$B$2:$B$18),IF(B57="vegetable",randomselection(Ingredient!$D$2:$D$18),randomselection(Ingredient!$E$2:$E$18))))))</f>
        <v>blue cheese</v>
      </c>
      <c r="D57" t="str">
        <f>VLOOKUP(IngredientGenerator!C57,Ingredient!$A$21:$F$111,2,FALSE)</f>
        <v>package</v>
      </c>
      <c r="E57" t="s">
        <v>113</v>
      </c>
      <c r="F57" t="str">
        <f t="shared" si="0"/>
        <v>blue cheese is a very nice food and beverage category that is categorized under asian cuisine</v>
      </c>
      <c r="G57">
        <f>VLOOKUP(IngredientGenerator!C57,Ingredient!$A$21:$F$111,6,FALSE)</f>
        <v>10.8</v>
      </c>
    </row>
    <row r="58" spans="1:7" x14ac:dyDescent="0.25">
      <c r="A58">
        <v>62</v>
      </c>
      <c r="B58" t="s">
        <v>112</v>
      </c>
      <c r="C58" t="str">
        <f>IF(B58="western",randomselection(Ingredient!$A$2:$A$18),IF(B58="asian",randomselection(Ingredient!$B$2:$B$18),IF(B58="fusion",randomselection(Ingredient!$C$2:$C$18),IF(B58="asian",randomselection(Ingredient!$B$2:$B$18),IF(B58="vegetable",randomselection(Ingredient!$D$2:$D$18),randomselection(Ingredient!$E$2:$E$18))))))</f>
        <v>sauerkraut</v>
      </c>
      <c r="D58" t="str">
        <f>VLOOKUP(IngredientGenerator!C58,Ingredient!$A$21:$F$111,2,FALSE)</f>
        <v>can</v>
      </c>
      <c r="E58" t="s">
        <v>112</v>
      </c>
      <c r="F58" t="str">
        <f t="shared" si="0"/>
        <v>sauerkraut is a very nice food and beverage category that is categorized under western cuisine</v>
      </c>
      <c r="G58">
        <f>VLOOKUP(IngredientGenerator!C58,Ingredient!$A$21:$F$111,6,FALSE)</f>
        <v>4</v>
      </c>
    </row>
    <row r="59" spans="1:7" x14ac:dyDescent="0.25">
      <c r="A59">
        <v>63</v>
      </c>
      <c r="B59" t="s">
        <v>116</v>
      </c>
      <c r="C59" t="str">
        <f>IF(B59="western",randomselection(Ingredient!$A$2:$A$18),IF(B59="asian",randomselection(Ingredient!$B$2:$B$18),IF(B59="fusion",randomselection(Ingredient!$C$2:$C$18),IF(B59="asian",randomselection(Ingredient!$B$2:$B$18),IF(B59="vegetable",randomselection(Ingredient!$D$2:$D$18),randomselection(Ingredient!$E$2:$E$18))))))</f>
        <v>chard</v>
      </c>
      <c r="D59" t="str">
        <f>VLOOKUP(IngredientGenerator!C59,Ingredient!$A$21:$F$111,2,FALSE)</f>
        <v>can</v>
      </c>
      <c r="E59" t="s">
        <v>116</v>
      </c>
      <c r="F59" t="str">
        <f t="shared" si="0"/>
        <v>chard is a very nice food and beverage category that is categorized under beverage cuisine</v>
      </c>
      <c r="G59">
        <f>VLOOKUP(IngredientGenerator!C59,Ingredient!$A$21:$F$111,6,FALSE)</f>
        <v>3.9</v>
      </c>
    </row>
    <row r="60" spans="1:7" x14ac:dyDescent="0.25">
      <c r="A60">
        <v>64</v>
      </c>
      <c r="B60" t="s">
        <v>112</v>
      </c>
      <c r="C60" t="str">
        <f>IF(B60="western",randomselection(Ingredient!$A$2:$A$18),IF(B60="asian",randomselection(Ingredient!$B$2:$B$18),IF(B60="fusion",randomselection(Ingredient!$C$2:$C$18),IF(B60="asian",randomselection(Ingredient!$B$2:$B$18),IF(B60="vegetable",randomselection(Ingredient!$D$2:$D$18),randomselection(Ingredient!$E$2:$E$18))))))</f>
        <v>sauerkraut</v>
      </c>
      <c r="D60" t="str">
        <f>VLOOKUP(IngredientGenerator!C60,Ingredient!$A$21:$F$111,2,FALSE)</f>
        <v>can</v>
      </c>
      <c r="E60" t="s">
        <v>112</v>
      </c>
      <c r="F60" t="str">
        <f t="shared" si="0"/>
        <v>sauerkraut is a very nice food and beverage category that is categorized under western cuisine</v>
      </c>
      <c r="G60">
        <f>VLOOKUP(IngredientGenerator!C60,Ingredient!$A$21:$F$111,6,FALSE)</f>
        <v>4</v>
      </c>
    </row>
    <row r="61" spans="1:7" x14ac:dyDescent="0.25">
      <c r="A61">
        <v>65</v>
      </c>
      <c r="B61" t="s">
        <v>112</v>
      </c>
      <c r="C61" t="str">
        <f>IF(B61="western",randomselection(Ingredient!$A$2:$A$18),IF(B61="asian",randomselection(Ingredient!$B$2:$B$18),IF(B61="fusion",randomselection(Ingredient!$C$2:$C$18),IF(B61="asian",randomselection(Ingredient!$B$2:$B$18),IF(B61="vegetable",randomselection(Ingredient!$D$2:$D$18),randomselection(Ingredient!$E$2:$E$18))))))</f>
        <v>cream of tartar</v>
      </c>
      <c r="D61" t="str">
        <f>VLOOKUP(IngredientGenerator!C61,Ingredient!$A$21:$F$111,2,FALSE)</f>
        <v>can</v>
      </c>
      <c r="E61" t="s">
        <v>112</v>
      </c>
      <c r="F61" t="str">
        <f t="shared" si="0"/>
        <v>cream of tartar is a very nice food and beverage category that is categorized under western cuisine</v>
      </c>
      <c r="G61">
        <f>VLOOKUP(IngredientGenerator!C61,Ingredient!$A$21:$F$111,6,FALSE)</f>
        <v>2.2000000000000002</v>
      </c>
    </row>
    <row r="62" spans="1:7" x14ac:dyDescent="0.25">
      <c r="A62">
        <v>6</v>
      </c>
      <c r="B62" t="s">
        <v>112</v>
      </c>
      <c r="C62" t="str">
        <f>IF(B62="western",randomselection(Ingredient!$A$2:$A$18),IF(B62="asian",randomselection(Ingredient!$B$2:$B$18),IF(B62="fusion",randomselection(Ingredient!$C$2:$C$18),IF(B62="asian",randomselection(Ingredient!$B$2:$B$18),IF(B62="vegetable",randomselection(Ingredient!$D$2:$D$18),randomselection(Ingredient!$E$2:$E$18))))))</f>
        <v>hamburger</v>
      </c>
      <c r="D62" t="str">
        <f>VLOOKUP(IngredientGenerator!C62,Ingredient!$A$21:$F$111,2,FALSE)</f>
        <v>piece</v>
      </c>
      <c r="E62" t="s">
        <v>112</v>
      </c>
      <c r="F62" t="str">
        <f t="shared" si="0"/>
        <v>hamburger is a very nice food and beverage category that is categorized under western cuisine</v>
      </c>
      <c r="G62">
        <f>VLOOKUP(IngredientGenerator!C62,Ingredient!$A$21:$F$111,6,FALSE)</f>
        <v>1.1000000000000001</v>
      </c>
    </row>
    <row r="63" spans="1:7" x14ac:dyDescent="0.25">
      <c r="A63">
        <v>7</v>
      </c>
      <c r="B63" t="s">
        <v>113</v>
      </c>
      <c r="C63" t="str">
        <f>IF(B63="western",randomselection(Ingredient!$A$2:$A$18),IF(B63="asian",randomselection(Ingredient!$B$2:$B$18),IF(B63="fusion",randomselection(Ingredient!$C$2:$C$18),IF(B63="asian",randomselection(Ingredient!$B$2:$B$18),IF(B63="vegetable",randomselection(Ingredient!$D$2:$D$18),randomselection(Ingredient!$E$2:$E$18))))))</f>
        <v>lettuce</v>
      </c>
      <c r="D63" t="str">
        <f>VLOOKUP(IngredientGenerator!C63,Ingredient!$A$21:$F$111,2,FALSE)</f>
        <v>package</v>
      </c>
      <c r="E63" t="s">
        <v>113</v>
      </c>
      <c r="F63" t="str">
        <f t="shared" si="0"/>
        <v>lettuce is a very nice food and beverage category that is categorized under asian cuisine</v>
      </c>
      <c r="G63">
        <f>VLOOKUP(IngredientGenerator!C63,Ingredient!$A$21:$F$111,6,FALSE)</f>
        <v>2.6</v>
      </c>
    </row>
    <row r="64" spans="1:7" x14ac:dyDescent="0.25">
      <c r="A64">
        <v>8</v>
      </c>
      <c r="B64" t="s">
        <v>114</v>
      </c>
      <c r="C64" t="str">
        <f>IF(B64="western",randomselection(Ingredient!$A$2:$A$18),IF(B64="asian",randomselection(Ingredient!$B$2:$B$18),IF(B64="fusion",randomselection(Ingredient!$C$2:$C$18),IF(B64="asian",randomselection(Ingredient!$B$2:$B$18),IF(B64="vegetable",randomselection(Ingredient!$D$2:$D$18),randomselection(Ingredient!$E$2:$E$18))))))</f>
        <v>peaches</v>
      </c>
      <c r="D64" t="str">
        <f>VLOOKUP(IngredientGenerator!C64,Ingredient!$A$21:$F$111,2,FALSE)</f>
        <v>can</v>
      </c>
      <c r="E64" t="s">
        <v>114</v>
      </c>
      <c r="F64" t="str">
        <f t="shared" si="0"/>
        <v>peaches is a very nice food and beverage category that is categorized under fusion cuisine</v>
      </c>
      <c r="G64">
        <f>VLOOKUP(IngredientGenerator!C64,Ingredient!$A$21:$F$111,6,FALSE)</f>
        <v>2.2000000000000002</v>
      </c>
    </row>
    <row r="65" spans="1:7" x14ac:dyDescent="0.25">
      <c r="A65">
        <v>9</v>
      </c>
      <c r="B65" t="s">
        <v>114</v>
      </c>
      <c r="C65" t="str">
        <f>IF(B65="western",randomselection(Ingredient!$A$2:$A$18),IF(B65="asian",randomselection(Ingredient!$B$2:$B$18),IF(B65="fusion",randomselection(Ingredient!$C$2:$C$18),IF(B65="asian",randomselection(Ingredient!$B$2:$B$18),IF(B65="vegetable",randomselection(Ingredient!$D$2:$D$18),randomselection(Ingredient!$E$2:$E$18))))))</f>
        <v>apples</v>
      </c>
      <c r="D65" t="str">
        <f>VLOOKUP(IngredientGenerator!C65,Ingredient!$A$21:$F$111,2,FALSE)</f>
        <v>package</v>
      </c>
      <c r="E65" t="s">
        <v>114</v>
      </c>
      <c r="F65" t="str">
        <f t="shared" si="0"/>
        <v>apples is a very nice food and beverage category that is categorized under fusion cuisine</v>
      </c>
      <c r="G65">
        <f>VLOOKUP(IngredientGenerator!C65,Ingredient!$A$21:$F$111,6,FALSE)</f>
        <v>2.5</v>
      </c>
    </row>
    <row r="66" spans="1:7" x14ac:dyDescent="0.25">
      <c r="A66">
        <v>10</v>
      </c>
      <c r="B66" t="s">
        <v>115</v>
      </c>
      <c r="C66" t="str">
        <f>IF(B66="western",randomselection(Ingredient!$A$2:$A$18),IF(B66="asian",randomselection(Ingredient!$B$2:$B$18),IF(B66="fusion",randomselection(Ingredient!$C$2:$C$18),IF(B66="asian",randomselection(Ingredient!$B$2:$B$18),IF(B66="vegetable",randomselection(Ingredient!$D$2:$D$18),randomselection(Ingredient!$E$2:$E$18))))))</f>
        <v>pea beans</v>
      </c>
      <c r="D66" t="str">
        <f>VLOOKUP(IngredientGenerator!C66,Ingredient!$A$21:$F$111,2,FALSE)</f>
        <v>can</v>
      </c>
      <c r="E66" t="s">
        <v>115</v>
      </c>
      <c r="F66" t="str">
        <f t="shared" ref="F66:F129" si="1">CONCATENATE(C66," is a very nice food and beverage category that is categorized under ",E66," cuisine")</f>
        <v>pea beans is a very nice food and beverage category that is categorized under vegetable cuisine</v>
      </c>
      <c r="G66">
        <f>VLOOKUP(IngredientGenerator!C66,Ingredient!$A$21:$F$111,6,FALSE)</f>
        <v>3.4</v>
      </c>
    </row>
    <row r="67" spans="1:7" x14ac:dyDescent="0.25">
      <c r="A67">
        <v>11</v>
      </c>
      <c r="B67" t="s">
        <v>116</v>
      </c>
      <c r="C67" t="str">
        <f>IF(B67="western",randomselection(Ingredient!$A$2:$A$18),IF(B67="asian",randomselection(Ingredient!$B$2:$B$18),IF(B67="fusion",randomselection(Ingredient!$C$2:$C$18),IF(B67="asian",randomselection(Ingredient!$B$2:$B$18),IF(B67="vegetable",randomselection(Ingredient!$D$2:$D$18),randomselection(Ingredient!$E$2:$E$18))))))</f>
        <v>amaretto</v>
      </c>
      <c r="D67" t="str">
        <f>VLOOKUP(IngredientGenerator!C67,Ingredient!$A$21:$F$111,2,FALSE)</f>
        <v>package</v>
      </c>
      <c r="E67" t="s">
        <v>116</v>
      </c>
      <c r="F67" t="str">
        <f t="shared" si="1"/>
        <v>amaretto is a very nice food and beverage category that is categorized under beverage cuisine</v>
      </c>
      <c r="G67">
        <f>VLOOKUP(IngredientGenerator!C67,Ingredient!$A$21:$F$111,6,FALSE)</f>
        <v>1.1000000000000001</v>
      </c>
    </row>
    <row r="68" spans="1:7" x14ac:dyDescent="0.25">
      <c r="A68">
        <v>12</v>
      </c>
      <c r="B68" t="s">
        <v>116</v>
      </c>
      <c r="C68" t="str">
        <f>IF(B68="western",randomselection(Ingredient!$A$2:$A$18),IF(B68="asian",randomselection(Ingredient!$B$2:$B$18),IF(B68="fusion",randomselection(Ingredient!$C$2:$C$18),IF(B68="asian",randomselection(Ingredient!$B$2:$B$18),IF(B68="vegetable",randomselection(Ingredient!$D$2:$D$18),randomselection(Ingredient!$E$2:$E$18))))))</f>
        <v>jicama</v>
      </c>
      <c r="D68" t="str">
        <f>VLOOKUP(IngredientGenerator!C68,Ingredient!$A$21:$F$111,2,FALSE)</f>
        <v>package</v>
      </c>
      <c r="E68" t="s">
        <v>116</v>
      </c>
      <c r="F68" t="str">
        <f t="shared" si="1"/>
        <v>jicama is a very nice food and beverage category that is categorized under beverage cuisine</v>
      </c>
      <c r="G68">
        <f>VLOOKUP(IngredientGenerator!C68,Ingredient!$A$21:$F$111,6,FALSE)</f>
        <v>1.4</v>
      </c>
    </row>
    <row r="69" spans="1:7" x14ac:dyDescent="0.25">
      <c r="A69">
        <v>13</v>
      </c>
      <c r="B69" t="s">
        <v>116</v>
      </c>
      <c r="C69" t="str">
        <f>IF(B69="western",randomselection(Ingredient!$A$2:$A$18),IF(B69="asian",randomselection(Ingredient!$B$2:$B$18),IF(B69="fusion",randomselection(Ingredient!$C$2:$C$18),IF(B69="asian",randomselection(Ingredient!$B$2:$B$18),IF(B69="vegetable",randomselection(Ingredient!$D$2:$D$18),randomselection(Ingredient!$E$2:$E$18))))))</f>
        <v>cooking wine</v>
      </c>
      <c r="D69" t="str">
        <f>VLOOKUP(IngredientGenerator!C69,Ingredient!$A$21:$F$111,2,FALSE)</f>
        <v>can</v>
      </c>
      <c r="E69" t="s">
        <v>116</v>
      </c>
      <c r="F69" t="str">
        <f t="shared" si="1"/>
        <v>cooking wine is a very nice food and beverage category that is categorized under beverage cuisine</v>
      </c>
      <c r="G69">
        <f>VLOOKUP(IngredientGenerator!C69,Ingredient!$A$21:$F$111,6,FALSE)</f>
        <v>2.4</v>
      </c>
    </row>
    <row r="70" spans="1:7" x14ac:dyDescent="0.25">
      <c r="A70">
        <v>14</v>
      </c>
      <c r="B70" t="s">
        <v>113</v>
      </c>
      <c r="C70" t="str">
        <f>IF(B70="western",randomselection(Ingredient!$A$2:$A$18),IF(B70="asian",randomselection(Ingredient!$B$2:$B$18),IF(B70="fusion",randomselection(Ingredient!$C$2:$C$18),IF(B70="asian",randomselection(Ingredient!$B$2:$B$18),IF(B70="vegetable",randomselection(Ingredient!$D$2:$D$18),randomselection(Ingredient!$E$2:$E$18))))))</f>
        <v>blue cheese</v>
      </c>
      <c r="D70" t="str">
        <f>VLOOKUP(IngredientGenerator!C70,Ingredient!$A$21:$F$111,2,FALSE)</f>
        <v>package</v>
      </c>
      <c r="E70" t="s">
        <v>113</v>
      </c>
      <c r="F70" t="str">
        <f t="shared" si="1"/>
        <v>blue cheese is a very nice food and beverage category that is categorized under asian cuisine</v>
      </c>
      <c r="G70">
        <f>VLOOKUP(IngredientGenerator!C70,Ingredient!$A$21:$F$111,6,FALSE)</f>
        <v>10.8</v>
      </c>
    </row>
    <row r="71" spans="1:7" x14ac:dyDescent="0.25">
      <c r="A71">
        <v>15</v>
      </c>
      <c r="B71" t="s">
        <v>116</v>
      </c>
      <c r="C71" t="str">
        <f>IF(B71="western",randomselection(Ingredient!$A$2:$A$18),IF(B71="asian",randomselection(Ingredient!$B$2:$B$18),IF(B71="fusion",randomselection(Ingredient!$C$2:$C$18),IF(B71="asian",randomselection(Ingredient!$B$2:$B$18),IF(B71="vegetable",randomselection(Ingredient!$D$2:$D$18),randomselection(Ingredient!$E$2:$E$18))))))</f>
        <v>tomato puree</v>
      </c>
      <c r="D71" t="str">
        <f>VLOOKUP(IngredientGenerator!C71,Ingredient!$A$21:$F$111,2,FALSE)</f>
        <v>can</v>
      </c>
      <c r="E71" t="s">
        <v>116</v>
      </c>
      <c r="F71" t="str">
        <f t="shared" si="1"/>
        <v>tomato puree is a very nice food and beverage category that is categorized under beverage cuisine</v>
      </c>
      <c r="G71">
        <f>VLOOKUP(IngredientGenerator!C71,Ingredient!$A$21:$F$111,6,FALSE)</f>
        <v>3.4</v>
      </c>
    </row>
    <row r="72" spans="1:7" x14ac:dyDescent="0.25">
      <c r="A72">
        <v>16</v>
      </c>
      <c r="B72" t="s">
        <v>114</v>
      </c>
      <c r="C72" t="str">
        <f>IF(B72="western",randomselection(Ingredient!$A$2:$A$18),IF(B72="asian",randomselection(Ingredient!$B$2:$B$18),IF(B72="fusion",randomselection(Ingredient!$C$2:$C$18),IF(B72="asian",randomselection(Ingredient!$B$2:$B$18),IF(B72="vegetable",randomselection(Ingredient!$D$2:$D$18),randomselection(Ingredient!$E$2:$E$18))))))</f>
        <v>red pepper flakes</v>
      </c>
      <c r="D72" t="str">
        <f>VLOOKUP(IngredientGenerator!C72,Ingredient!$A$21:$F$111,2,FALSE)</f>
        <v>package</v>
      </c>
      <c r="E72" t="s">
        <v>114</v>
      </c>
      <c r="F72" t="str">
        <f t="shared" si="1"/>
        <v>red pepper flakes is a very nice food and beverage category that is categorized under fusion cuisine</v>
      </c>
      <c r="G72">
        <f>VLOOKUP(IngredientGenerator!C72,Ingredient!$A$21:$F$111,6,FALSE)</f>
        <v>2</v>
      </c>
    </row>
    <row r="73" spans="1:7" x14ac:dyDescent="0.25">
      <c r="A73">
        <v>17</v>
      </c>
      <c r="B73" t="s">
        <v>113</v>
      </c>
      <c r="C73" t="str">
        <f>IF(B73="western",randomselection(Ingredient!$A$2:$A$18),IF(B73="asian",randomselection(Ingredient!$B$2:$B$18),IF(B73="fusion",randomselection(Ingredient!$C$2:$C$18),IF(B73="asian",randomselection(Ingredient!$B$2:$B$18),IF(B73="vegetable",randomselection(Ingredient!$D$2:$D$18),randomselection(Ingredient!$E$2:$E$18))))))</f>
        <v>cornmeal</v>
      </c>
      <c r="D73" t="str">
        <f>VLOOKUP(IngredientGenerator!C73,Ingredient!$A$21:$F$111,2,FALSE)</f>
        <v>can</v>
      </c>
      <c r="E73" t="s">
        <v>113</v>
      </c>
      <c r="F73" t="str">
        <f t="shared" si="1"/>
        <v>cornmeal is a very nice food and beverage category that is categorized under asian cuisine</v>
      </c>
      <c r="G73">
        <f>VLOOKUP(IngredientGenerator!C73,Ingredient!$A$21:$F$111,6,FALSE)</f>
        <v>2.1</v>
      </c>
    </row>
    <row r="74" spans="1:7" x14ac:dyDescent="0.25">
      <c r="A74">
        <v>18</v>
      </c>
      <c r="B74" t="s">
        <v>114</v>
      </c>
      <c r="C74" t="str">
        <f>IF(B74="western",randomselection(Ingredient!$A$2:$A$18),IF(B74="asian",randomselection(Ingredient!$B$2:$B$18),IF(B74="fusion",randomselection(Ingredient!$C$2:$C$18),IF(B74="asian",randomselection(Ingredient!$B$2:$B$18),IF(B74="vegetable",randomselection(Ingredient!$D$2:$D$18),randomselection(Ingredient!$E$2:$E$18))))))</f>
        <v>plantains</v>
      </c>
      <c r="D74" t="str">
        <f>VLOOKUP(IngredientGenerator!C74,Ingredient!$A$21:$F$111,2,FALSE)</f>
        <v>can</v>
      </c>
      <c r="E74" t="s">
        <v>114</v>
      </c>
      <c r="F74" t="str">
        <f t="shared" si="1"/>
        <v>plantains is a very nice food and beverage category that is categorized under fusion cuisine</v>
      </c>
      <c r="G74">
        <f>VLOOKUP(IngredientGenerator!C74,Ingredient!$A$21:$F$111,6,FALSE)</f>
        <v>3.5</v>
      </c>
    </row>
    <row r="75" spans="1:7" x14ac:dyDescent="0.25">
      <c r="A75">
        <v>19</v>
      </c>
      <c r="B75" t="s">
        <v>114</v>
      </c>
      <c r="C75" t="str">
        <f>IF(B75="western",randomselection(Ingredient!$A$2:$A$18),IF(B75="asian",randomselection(Ingredient!$B$2:$B$18),IF(B75="fusion",randomselection(Ingredient!$C$2:$C$18),IF(B75="asian",randomselection(Ingredient!$B$2:$B$18),IF(B75="vegetable",randomselection(Ingredient!$D$2:$D$18),randomselection(Ingredient!$E$2:$E$18))))))</f>
        <v>mackerel</v>
      </c>
      <c r="D75" t="str">
        <f>VLOOKUP(IngredientGenerator!C75,Ingredient!$A$21:$F$111,2,FALSE)</f>
        <v>piece</v>
      </c>
      <c r="E75" t="s">
        <v>114</v>
      </c>
      <c r="F75" t="str">
        <f t="shared" si="1"/>
        <v>mackerel is a very nice food and beverage category that is categorized under fusion cuisine</v>
      </c>
      <c r="G75">
        <f>VLOOKUP(IngredientGenerator!C75,Ingredient!$A$21:$F$111,6,FALSE)</f>
        <v>8.3000000000000007</v>
      </c>
    </row>
    <row r="76" spans="1:7" x14ac:dyDescent="0.25">
      <c r="A76">
        <v>20</v>
      </c>
      <c r="B76" t="s">
        <v>114</v>
      </c>
      <c r="C76" t="str">
        <f>IF(B76="western",randomselection(Ingredient!$A$2:$A$18),IF(B76="asian",randomselection(Ingredient!$B$2:$B$18),IF(B76="fusion",randomselection(Ingredient!$C$2:$C$18),IF(B76="asian",randomselection(Ingredient!$B$2:$B$18),IF(B76="vegetable",randomselection(Ingredient!$D$2:$D$18),randomselection(Ingredient!$E$2:$E$18))))))</f>
        <v>colby cheese</v>
      </c>
      <c r="D76" t="str">
        <f>VLOOKUP(IngredientGenerator!C76,Ingredient!$A$21:$F$111,2,FALSE)</f>
        <v>package</v>
      </c>
      <c r="E76" t="s">
        <v>114</v>
      </c>
      <c r="F76" t="str">
        <f t="shared" si="1"/>
        <v>colby cheese is a very nice food and beverage category that is categorized under fusion cuisine</v>
      </c>
      <c r="G76">
        <f>VLOOKUP(IngredientGenerator!C76,Ingredient!$A$21:$F$111,6,FALSE)</f>
        <v>2.2000000000000002</v>
      </c>
    </row>
    <row r="77" spans="1:7" x14ac:dyDescent="0.25">
      <c r="A77">
        <v>21</v>
      </c>
      <c r="B77" t="s">
        <v>113</v>
      </c>
      <c r="C77" t="str">
        <f>IF(B77="western",randomselection(Ingredient!$A$2:$A$18),IF(B77="asian",randomselection(Ingredient!$B$2:$B$18),IF(B77="fusion",randomselection(Ingredient!$C$2:$C$18),IF(B77="asian",randomselection(Ingredient!$B$2:$B$18),IF(B77="vegetable",randomselection(Ingredient!$D$2:$D$18),randomselection(Ingredient!$E$2:$E$18))))))</f>
        <v>salmon</v>
      </c>
      <c r="D77" t="str">
        <f>VLOOKUP(IngredientGenerator!C77,Ingredient!$A$21:$F$111,2,FALSE)</f>
        <v>piece</v>
      </c>
      <c r="E77" t="s">
        <v>113</v>
      </c>
      <c r="F77" t="str">
        <f t="shared" si="1"/>
        <v>salmon is a very nice food and beverage category that is categorized under asian cuisine</v>
      </c>
      <c r="G77">
        <f>VLOOKUP(IngredientGenerator!C77,Ingredient!$A$21:$F$111,6,FALSE)</f>
        <v>5.8</v>
      </c>
    </row>
    <row r="78" spans="1:7" x14ac:dyDescent="0.25">
      <c r="A78">
        <v>22</v>
      </c>
      <c r="B78" t="s">
        <v>116</v>
      </c>
      <c r="C78" t="str">
        <f>IF(B78="western",randomselection(Ingredient!$A$2:$A$18),IF(B78="asian",randomselection(Ingredient!$B$2:$B$18),IF(B78="fusion",randomselection(Ingredient!$C$2:$C$18),IF(B78="asian",randomselection(Ingredient!$B$2:$B$18),IF(B78="vegetable",randomselection(Ingredient!$D$2:$D$18),randomselection(Ingredient!$E$2:$E$18))))))</f>
        <v>brandy</v>
      </c>
      <c r="D78" t="str">
        <f>VLOOKUP(IngredientGenerator!C78,Ingredient!$A$21:$F$111,2,FALSE)</f>
        <v>bottle</v>
      </c>
      <c r="E78" t="s">
        <v>116</v>
      </c>
      <c r="F78" t="str">
        <f t="shared" si="1"/>
        <v>brandy is a very nice food and beverage category that is categorized under beverage cuisine</v>
      </c>
      <c r="G78">
        <f>VLOOKUP(IngredientGenerator!C78,Ingredient!$A$21:$F$111,6,FALSE)</f>
        <v>10.7</v>
      </c>
    </row>
    <row r="79" spans="1:7" x14ac:dyDescent="0.25">
      <c r="A79">
        <v>23</v>
      </c>
      <c r="B79" t="s">
        <v>112</v>
      </c>
      <c r="C79" t="str">
        <f>IF(B79="western",randomselection(Ingredient!$A$2:$A$18),IF(B79="asian",randomselection(Ingredient!$B$2:$B$18),IF(B79="fusion",randomselection(Ingredient!$C$2:$C$18),IF(B79="asian",randomselection(Ingredient!$B$2:$B$18),IF(B79="vegetable",randomselection(Ingredient!$D$2:$D$18),randomselection(Ingredient!$E$2:$E$18))))))</f>
        <v>canola oil</v>
      </c>
      <c r="D79" t="str">
        <f>VLOOKUP(IngredientGenerator!C79,Ingredient!$A$21:$F$111,2,FALSE)</f>
        <v>can</v>
      </c>
      <c r="E79" t="s">
        <v>112</v>
      </c>
      <c r="F79" t="str">
        <f t="shared" si="1"/>
        <v>canola oil is a very nice food and beverage category that is categorized under western cuisine</v>
      </c>
      <c r="G79">
        <f>VLOOKUP(IngredientGenerator!C79,Ingredient!$A$21:$F$111,6,FALSE)</f>
        <v>5.3</v>
      </c>
    </row>
    <row r="80" spans="1:7" x14ac:dyDescent="0.25">
      <c r="A80">
        <v>24</v>
      </c>
      <c r="B80" t="s">
        <v>112</v>
      </c>
      <c r="C80" t="str">
        <f>IF(B80="western",randomselection(Ingredient!$A$2:$A$18),IF(B80="asian",randomselection(Ingredient!$B$2:$B$18),IF(B80="fusion",randomselection(Ingredient!$C$2:$C$18),IF(B80="asian",randomselection(Ingredient!$B$2:$B$18),IF(B80="vegetable",randomselection(Ingredient!$D$2:$D$18),randomselection(Ingredient!$E$2:$E$18))))))</f>
        <v>spaghetti squash</v>
      </c>
      <c r="D80" t="str">
        <f>VLOOKUP(IngredientGenerator!C80,Ingredient!$A$21:$F$111,2,FALSE)</f>
        <v>package</v>
      </c>
      <c r="E80" t="s">
        <v>112</v>
      </c>
      <c r="F80" t="str">
        <f t="shared" si="1"/>
        <v>spaghetti squash is a very nice food and beverage category that is categorized under western cuisine</v>
      </c>
      <c r="G80">
        <f>VLOOKUP(IngredientGenerator!C80,Ingredient!$A$21:$F$111,6,FALSE)</f>
        <v>5</v>
      </c>
    </row>
    <row r="81" spans="1:7" x14ac:dyDescent="0.25">
      <c r="A81">
        <v>25</v>
      </c>
      <c r="B81" t="s">
        <v>113</v>
      </c>
      <c r="C81" t="str">
        <f>IF(B81="western",randomselection(Ingredient!$A$2:$A$18),IF(B81="asian",randomselection(Ingredient!$B$2:$B$18),IF(B81="fusion",randomselection(Ingredient!$C$2:$C$18),IF(B81="asian",randomselection(Ingredient!$B$2:$B$18),IF(B81="vegetable",randomselection(Ingredient!$D$2:$D$18),randomselection(Ingredient!$E$2:$E$18))))))</f>
        <v>corn</v>
      </c>
      <c r="D81" t="str">
        <f>VLOOKUP(IngredientGenerator!C81,Ingredient!$A$21:$F$111,2,FALSE)</f>
        <v>can</v>
      </c>
      <c r="E81" t="s">
        <v>113</v>
      </c>
      <c r="F81" t="str">
        <f t="shared" si="1"/>
        <v>corn is a very nice food and beverage category that is categorized under asian cuisine</v>
      </c>
      <c r="G81">
        <f>VLOOKUP(IngredientGenerator!C81,Ingredient!$A$21:$F$111,6,FALSE)</f>
        <v>5.0999999999999996</v>
      </c>
    </row>
    <row r="82" spans="1:7" x14ac:dyDescent="0.25">
      <c r="A82">
        <v>26</v>
      </c>
      <c r="B82" t="s">
        <v>112</v>
      </c>
      <c r="C82" t="str">
        <f>IF(B82="western",randomselection(Ingredient!$A$2:$A$18),IF(B82="asian",randomselection(Ingredient!$B$2:$B$18),IF(B82="fusion",randomselection(Ingredient!$C$2:$C$18),IF(B82="asian",randomselection(Ingredient!$B$2:$B$18),IF(B82="vegetable",randomselection(Ingredient!$D$2:$D$18),randomselection(Ingredient!$E$2:$E$18))))))</f>
        <v>ale</v>
      </c>
      <c r="D82" t="str">
        <f>VLOOKUP(IngredientGenerator!C82,Ingredient!$A$21:$F$111,2,FALSE)</f>
        <v>package</v>
      </c>
      <c r="E82" t="s">
        <v>112</v>
      </c>
      <c r="F82" t="str">
        <f t="shared" si="1"/>
        <v>ale is a very nice food and beverage category that is categorized under western cuisine</v>
      </c>
      <c r="G82">
        <f>VLOOKUP(IngredientGenerator!C82,Ingredient!$A$21:$F$111,6,FALSE)</f>
        <v>2.2999999999999998</v>
      </c>
    </row>
    <row r="83" spans="1:7" x14ac:dyDescent="0.25">
      <c r="A83">
        <v>27</v>
      </c>
      <c r="B83" t="s">
        <v>112</v>
      </c>
      <c r="C83" t="str">
        <f>IF(B83="western",randomselection(Ingredient!$A$2:$A$18),IF(B83="asian",randomselection(Ingredient!$B$2:$B$18),IF(B83="fusion",randomselection(Ingredient!$C$2:$C$18),IF(B83="asian",randomselection(Ingredient!$B$2:$B$18),IF(B83="vegetable",randomselection(Ingredient!$D$2:$D$18),randomselection(Ingredient!$E$2:$E$18))))))</f>
        <v>corned beef</v>
      </c>
      <c r="D83" t="str">
        <f>VLOOKUP(IngredientGenerator!C83,Ingredient!$A$21:$F$111,2,FALSE)</f>
        <v>can</v>
      </c>
      <c r="E83" t="s">
        <v>112</v>
      </c>
      <c r="F83" t="str">
        <f t="shared" si="1"/>
        <v>corned beef is a very nice food and beverage category that is categorized under western cuisine</v>
      </c>
      <c r="G83">
        <f>VLOOKUP(IngredientGenerator!C83,Ingredient!$A$21:$F$111,6,FALSE)</f>
        <v>5.0999999999999996</v>
      </c>
    </row>
    <row r="84" spans="1:7" x14ac:dyDescent="0.25">
      <c r="A84">
        <v>28</v>
      </c>
      <c r="B84" t="s">
        <v>114</v>
      </c>
      <c r="C84" t="str">
        <f>IF(B84="western",randomselection(Ingredient!$A$2:$A$18),IF(B84="asian",randomselection(Ingredient!$B$2:$B$18),IF(B84="fusion",randomselection(Ingredient!$C$2:$C$18),IF(B84="asian",randomselection(Ingredient!$B$2:$B$18),IF(B84="vegetable",randomselection(Ingredient!$D$2:$D$18),randomselection(Ingredient!$E$2:$E$18))))))</f>
        <v>cabbage</v>
      </c>
      <c r="D84" t="str">
        <f>VLOOKUP(IngredientGenerator!C84,Ingredient!$A$21:$F$111,2,FALSE)</f>
        <v>piece</v>
      </c>
      <c r="E84" t="s">
        <v>114</v>
      </c>
      <c r="F84" t="str">
        <f t="shared" si="1"/>
        <v>cabbage is a very nice food and beverage category that is categorized under fusion cuisine</v>
      </c>
      <c r="G84">
        <f>VLOOKUP(IngredientGenerator!C84,Ingredient!$A$21:$F$111,6,FALSE)</f>
        <v>4.9000000000000004</v>
      </c>
    </row>
    <row r="85" spans="1:7" x14ac:dyDescent="0.25">
      <c r="A85">
        <v>29</v>
      </c>
      <c r="B85" t="s">
        <v>114</v>
      </c>
      <c r="C85" t="str">
        <f>IF(B85="western",randomselection(Ingredient!$A$2:$A$18),IF(B85="asian",randomselection(Ingredient!$B$2:$B$18),IF(B85="fusion",randomselection(Ingredient!$C$2:$C$18),IF(B85="asian",randomselection(Ingredient!$B$2:$B$18),IF(B85="vegetable",randomselection(Ingredient!$D$2:$D$18),randomselection(Ingredient!$E$2:$E$18))))))</f>
        <v>apples</v>
      </c>
      <c r="D85" t="str">
        <f>VLOOKUP(IngredientGenerator!C85,Ingredient!$A$21:$F$111,2,FALSE)</f>
        <v>package</v>
      </c>
      <c r="E85" t="s">
        <v>114</v>
      </c>
      <c r="F85" t="str">
        <f t="shared" si="1"/>
        <v>apples is a very nice food and beverage category that is categorized under fusion cuisine</v>
      </c>
      <c r="G85">
        <f>VLOOKUP(IngredientGenerator!C85,Ingredient!$A$21:$F$111,6,FALSE)</f>
        <v>2.5</v>
      </c>
    </row>
    <row r="86" spans="1:7" x14ac:dyDescent="0.25">
      <c r="A86">
        <v>30</v>
      </c>
      <c r="B86" t="s">
        <v>116</v>
      </c>
      <c r="C86" t="str">
        <f>IF(B86="western",randomselection(Ingredient!$A$2:$A$18),IF(B86="asian",randomselection(Ingredient!$B$2:$B$18),IF(B86="fusion",randomselection(Ingredient!$C$2:$C$18),IF(B86="asian",randomselection(Ingredient!$B$2:$B$18),IF(B86="vegetable",randomselection(Ingredient!$D$2:$D$18),randomselection(Ingredient!$E$2:$E$18))))))</f>
        <v>baking soda</v>
      </c>
      <c r="D86" t="str">
        <f>VLOOKUP(IngredientGenerator!C86,Ingredient!$A$21:$F$111,2,FALSE)</f>
        <v>can</v>
      </c>
      <c r="E86" t="s">
        <v>116</v>
      </c>
      <c r="F86" t="str">
        <f t="shared" si="1"/>
        <v>baking soda is a very nice food and beverage category that is categorized under beverage cuisine</v>
      </c>
      <c r="G86">
        <f>VLOOKUP(IngredientGenerator!C86,Ingredient!$A$21:$F$111,6,FALSE)</f>
        <v>3.9</v>
      </c>
    </row>
    <row r="87" spans="1:7" x14ac:dyDescent="0.25">
      <c r="A87">
        <v>31</v>
      </c>
      <c r="B87" t="s">
        <v>116</v>
      </c>
      <c r="C87" t="str">
        <f>IF(B87="western",randomselection(Ingredient!$A$2:$A$18),IF(B87="asian",randomselection(Ingredient!$B$2:$B$18),IF(B87="fusion",randomselection(Ingredient!$C$2:$C$18),IF(B87="asian",randomselection(Ingredient!$B$2:$B$18),IF(B87="vegetable",randomselection(Ingredient!$D$2:$D$18),randomselection(Ingredient!$E$2:$E$18))))))</f>
        <v>broccoli</v>
      </c>
      <c r="D87" t="str">
        <f>VLOOKUP(IngredientGenerator!C87,Ingredient!$A$21:$F$111,2,FALSE)</f>
        <v>package</v>
      </c>
      <c r="E87" t="s">
        <v>116</v>
      </c>
      <c r="F87" t="str">
        <f t="shared" si="1"/>
        <v>broccoli is a very nice food and beverage category that is categorized under beverage cuisine</v>
      </c>
      <c r="G87">
        <f>VLOOKUP(IngredientGenerator!C87,Ingredient!$A$21:$F$111,6,FALSE)</f>
        <v>1.5</v>
      </c>
    </row>
    <row r="88" spans="1:7" x14ac:dyDescent="0.25">
      <c r="A88">
        <v>32</v>
      </c>
      <c r="B88" t="s">
        <v>114</v>
      </c>
      <c r="C88" t="str">
        <f>IF(B88="western",randomselection(Ingredient!$A$2:$A$18),IF(B88="asian",randomselection(Ingredient!$B$2:$B$18),IF(B88="fusion",randomselection(Ingredient!$C$2:$C$18),IF(B88="asian",randomselection(Ingredient!$B$2:$B$18),IF(B88="vegetable",randomselection(Ingredient!$D$2:$D$18),randomselection(Ingredient!$E$2:$E$18))))))</f>
        <v>mackerel</v>
      </c>
      <c r="D88" t="str">
        <f>VLOOKUP(IngredientGenerator!C88,Ingredient!$A$21:$F$111,2,FALSE)</f>
        <v>piece</v>
      </c>
      <c r="E88" t="s">
        <v>114</v>
      </c>
      <c r="F88" t="str">
        <f t="shared" si="1"/>
        <v>mackerel is a very nice food and beverage category that is categorized under fusion cuisine</v>
      </c>
      <c r="G88">
        <f>VLOOKUP(IngredientGenerator!C88,Ingredient!$A$21:$F$111,6,FALSE)</f>
        <v>8.3000000000000007</v>
      </c>
    </row>
    <row r="89" spans="1:7" x14ac:dyDescent="0.25">
      <c r="A89">
        <v>33</v>
      </c>
      <c r="B89" t="s">
        <v>112</v>
      </c>
      <c r="C89" t="str">
        <f>IF(B89="western",randomselection(Ingredient!$A$2:$A$18),IF(B89="asian",randomselection(Ingredient!$B$2:$B$18),IF(B89="fusion",randomselection(Ingredient!$C$2:$C$18),IF(B89="asian",randomselection(Ingredient!$B$2:$B$18),IF(B89="vegetable",randomselection(Ingredient!$D$2:$D$18),randomselection(Ingredient!$E$2:$E$18))))))</f>
        <v>Canadian bacon</v>
      </c>
      <c r="D89" t="str">
        <f>VLOOKUP(IngredientGenerator!C89,Ingredient!$A$21:$F$111,2,FALSE)</f>
        <v>piece</v>
      </c>
      <c r="E89" t="s">
        <v>112</v>
      </c>
      <c r="F89" t="str">
        <f t="shared" si="1"/>
        <v>Canadian bacon is a very nice food and beverage category that is categorized under western cuisine</v>
      </c>
      <c r="G89">
        <f>VLOOKUP(IngredientGenerator!C89,Ingredient!$A$21:$F$111,6,FALSE)</f>
        <v>1.5</v>
      </c>
    </row>
    <row r="90" spans="1:7" x14ac:dyDescent="0.25">
      <c r="A90">
        <v>34</v>
      </c>
      <c r="B90" t="s">
        <v>112</v>
      </c>
      <c r="C90" t="str">
        <f>IF(B90="western",randomselection(Ingredient!$A$2:$A$18),IF(B90="asian",randomselection(Ingredient!$B$2:$B$18),IF(B90="fusion",randomselection(Ingredient!$C$2:$C$18),IF(B90="asian",randomselection(Ingredient!$B$2:$B$18),IF(B90="vegetable",randomselection(Ingredient!$D$2:$D$18),randomselection(Ingredient!$E$2:$E$18))))))</f>
        <v>spaghetti squash</v>
      </c>
      <c r="D90" t="str">
        <f>VLOOKUP(IngredientGenerator!C90,Ingredient!$A$21:$F$111,2,FALSE)</f>
        <v>package</v>
      </c>
      <c r="E90" t="s">
        <v>112</v>
      </c>
      <c r="F90" t="str">
        <f t="shared" si="1"/>
        <v>spaghetti squash is a very nice food and beverage category that is categorized under western cuisine</v>
      </c>
      <c r="G90">
        <f>VLOOKUP(IngredientGenerator!C90,Ingredient!$A$21:$F$111,6,FALSE)</f>
        <v>5</v>
      </c>
    </row>
    <row r="91" spans="1:7" x14ac:dyDescent="0.25">
      <c r="A91">
        <v>35</v>
      </c>
      <c r="B91" t="s">
        <v>113</v>
      </c>
      <c r="C91" t="str">
        <f>IF(B91="western",randomselection(Ingredient!$A$2:$A$18),IF(B91="asian",randomselection(Ingredient!$B$2:$B$18),IF(B91="fusion",randomselection(Ingredient!$C$2:$C$18),IF(B91="asian",randomselection(Ingredient!$B$2:$B$18),IF(B91="vegetable",randomselection(Ingredient!$D$2:$D$18),randomselection(Ingredient!$E$2:$E$18))))))</f>
        <v>blue cheese</v>
      </c>
      <c r="D91" t="str">
        <f>VLOOKUP(IngredientGenerator!C91,Ingredient!$A$21:$F$111,2,FALSE)</f>
        <v>package</v>
      </c>
      <c r="E91" t="s">
        <v>113</v>
      </c>
      <c r="F91" t="str">
        <f t="shared" si="1"/>
        <v>blue cheese is a very nice food and beverage category that is categorized under asian cuisine</v>
      </c>
      <c r="G91">
        <f>VLOOKUP(IngredientGenerator!C91,Ingredient!$A$21:$F$111,6,FALSE)</f>
        <v>10.8</v>
      </c>
    </row>
    <row r="92" spans="1:7" x14ac:dyDescent="0.25">
      <c r="A92">
        <v>36</v>
      </c>
      <c r="B92" t="s">
        <v>112</v>
      </c>
      <c r="C92" t="str">
        <f>IF(B92="western",randomselection(Ingredient!$A$2:$A$18),IF(B92="asian",randomselection(Ingredient!$B$2:$B$18),IF(B92="fusion",randomselection(Ingredient!$C$2:$C$18),IF(B92="asian",randomselection(Ingredient!$B$2:$B$18),IF(B92="vegetable",randomselection(Ingredient!$D$2:$D$18),randomselection(Ingredient!$E$2:$E$18))))))</f>
        <v>cream of tartar</v>
      </c>
      <c r="D92" t="str">
        <f>VLOOKUP(IngredientGenerator!C92,Ingredient!$A$21:$F$111,2,FALSE)</f>
        <v>can</v>
      </c>
      <c r="E92" t="s">
        <v>112</v>
      </c>
      <c r="F92" t="str">
        <f t="shared" si="1"/>
        <v>cream of tartar is a very nice food and beverage category that is categorized under western cuisine</v>
      </c>
      <c r="G92">
        <f>VLOOKUP(IngredientGenerator!C92,Ingredient!$A$21:$F$111,6,FALSE)</f>
        <v>2.2000000000000002</v>
      </c>
    </row>
    <row r="93" spans="1:7" x14ac:dyDescent="0.25">
      <c r="A93">
        <v>37</v>
      </c>
      <c r="B93" t="s">
        <v>115</v>
      </c>
      <c r="C93" t="str">
        <f>IF(B93="western",randomselection(Ingredient!$A$2:$A$18),IF(B93="asian",randomselection(Ingredient!$B$2:$B$18),IF(B93="fusion",randomselection(Ingredient!$C$2:$C$18),IF(B93="asian",randomselection(Ingredient!$B$2:$B$18),IF(B93="vegetable",randomselection(Ingredient!$D$2:$D$18),randomselection(Ingredient!$E$2:$E$18))))))</f>
        <v>berries</v>
      </c>
      <c r="D93" t="str">
        <f>VLOOKUP(IngredientGenerator!C93,Ingredient!$A$21:$F$111,2,FALSE)</f>
        <v>can</v>
      </c>
      <c r="E93" t="s">
        <v>115</v>
      </c>
      <c r="F93" t="str">
        <f t="shared" si="1"/>
        <v>berries is a very nice food and beverage category that is categorized under vegetable cuisine</v>
      </c>
      <c r="G93">
        <f>VLOOKUP(IngredientGenerator!C93,Ingredient!$A$21:$F$111,6,FALSE)</f>
        <v>3.7</v>
      </c>
    </row>
    <row r="94" spans="1:7" x14ac:dyDescent="0.25">
      <c r="A94">
        <v>38</v>
      </c>
      <c r="B94" t="s">
        <v>114</v>
      </c>
      <c r="C94" t="str">
        <f>IF(B94="western",randomselection(Ingredient!$A$2:$A$18),IF(B94="asian",randomselection(Ingredient!$B$2:$B$18),IF(B94="fusion",randomselection(Ingredient!$C$2:$C$18),IF(B94="asian",randomselection(Ingredient!$B$2:$B$18),IF(B94="vegetable",randomselection(Ingredient!$D$2:$D$18),randomselection(Ingredient!$E$2:$E$18))))))</f>
        <v>cabbage</v>
      </c>
      <c r="D94" t="str">
        <f>VLOOKUP(IngredientGenerator!C94,Ingredient!$A$21:$F$111,2,FALSE)</f>
        <v>piece</v>
      </c>
      <c r="E94" t="s">
        <v>114</v>
      </c>
      <c r="F94" t="str">
        <f t="shared" si="1"/>
        <v>cabbage is a very nice food and beverage category that is categorized under fusion cuisine</v>
      </c>
      <c r="G94">
        <f>VLOOKUP(IngredientGenerator!C94,Ingredient!$A$21:$F$111,6,FALSE)</f>
        <v>4.9000000000000004</v>
      </c>
    </row>
    <row r="95" spans="1:7" x14ac:dyDescent="0.25">
      <c r="A95">
        <v>39</v>
      </c>
      <c r="B95" t="s">
        <v>114</v>
      </c>
      <c r="C95" t="str">
        <f>IF(B95="western",randomselection(Ingredient!$A$2:$A$18),IF(B95="asian",randomselection(Ingredient!$B$2:$B$18),IF(B95="fusion",randomselection(Ingredient!$C$2:$C$18),IF(B95="asian",randomselection(Ingredient!$B$2:$B$18),IF(B95="vegetable",randomselection(Ingredient!$D$2:$D$18),randomselection(Ingredient!$E$2:$E$18))))))</f>
        <v>coriander</v>
      </c>
      <c r="D95" t="str">
        <f>VLOOKUP(IngredientGenerator!C95,Ingredient!$A$21:$F$111,2,FALSE)</f>
        <v>can</v>
      </c>
      <c r="E95" t="s">
        <v>114</v>
      </c>
      <c r="F95" t="str">
        <f t="shared" si="1"/>
        <v>coriander is a very nice food and beverage category that is categorized under fusion cuisine</v>
      </c>
      <c r="G95">
        <f>VLOOKUP(IngredientGenerator!C95,Ingredient!$A$21:$F$111,6,FALSE)</f>
        <v>1.5</v>
      </c>
    </row>
    <row r="96" spans="1:7" x14ac:dyDescent="0.25">
      <c r="A96">
        <v>40</v>
      </c>
      <c r="B96" t="s">
        <v>113</v>
      </c>
      <c r="C96" t="str">
        <f>IF(B96="western",randomselection(Ingredient!$A$2:$A$18),IF(B96="asian",randomselection(Ingredient!$B$2:$B$18),IF(B96="fusion",randomselection(Ingredient!$C$2:$C$18),IF(B96="asian",randomselection(Ingredient!$B$2:$B$18),IF(B96="vegetable",randomselection(Ingredient!$D$2:$D$18),randomselection(Ingredient!$E$2:$E$18))))))</f>
        <v>borscht</v>
      </c>
      <c r="D96" t="str">
        <f>VLOOKUP(IngredientGenerator!C96,Ingredient!$A$21:$F$111,2,FALSE)</f>
        <v>bottle</v>
      </c>
      <c r="E96" t="s">
        <v>113</v>
      </c>
      <c r="F96" t="str">
        <f t="shared" si="1"/>
        <v>borscht is a very nice food and beverage category that is categorized under asian cuisine</v>
      </c>
      <c r="G96">
        <f>VLOOKUP(IngredientGenerator!C96,Ingredient!$A$21:$F$111,6,FALSE)</f>
        <v>5.4</v>
      </c>
    </row>
    <row r="97" spans="1:7" x14ac:dyDescent="0.25">
      <c r="A97">
        <v>41</v>
      </c>
      <c r="B97" t="s">
        <v>115</v>
      </c>
      <c r="C97" t="str">
        <f>IF(B97="western",randomselection(Ingredient!$A$2:$A$18),IF(B97="asian",randomselection(Ingredient!$B$2:$B$18),IF(B97="fusion",randomselection(Ingredient!$C$2:$C$18),IF(B97="asian",randomselection(Ingredient!$B$2:$B$18),IF(B97="vegetable",randomselection(Ingredient!$D$2:$D$18),randomselection(Ingredient!$E$2:$E$18))))))</f>
        <v>applesauce</v>
      </c>
      <c r="D97" t="str">
        <f>VLOOKUP(IngredientGenerator!C97,Ingredient!$A$21:$F$111,2,FALSE)</f>
        <v>can</v>
      </c>
      <c r="E97" t="s">
        <v>115</v>
      </c>
      <c r="F97" t="str">
        <f t="shared" si="1"/>
        <v>applesauce is a very nice food and beverage category that is categorized under vegetable cuisine</v>
      </c>
      <c r="G97">
        <f>VLOOKUP(IngredientGenerator!C97,Ingredient!$A$21:$F$111,6,FALSE)</f>
        <v>2.1</v>
      </c>
    </row>
    <row r="98" spans="1:7" x14ac:dyDescent="0.25">
      <c r="A98">
        <v>42</v>
      </c>
      <c r="B98" t="s">
        <v>114</v>
      </c>
      <c r="C98" t="str">
        <f>IF(B98="western",randomselection(Ingredient!$A$2:$A$18),IF(B98="asian",randomselection(Ingredient!$B$2:$B$18),IF(B98="fusion",randomselection(Ingredient!$C$2:$C$18),IF(B98="asian",randomselection(Ingredient!$B$2:$B$18),IF(B98="vegetable",randomselection(Ingredient!$D$2:$D$18),randomselection(Ingredient!$E$2:$E$18))))))</f>
        <v>provolone</v>
      </c>
      <c r="D98" t="str">
        <f>VLOOKUP(IngredientGenerator!C98,Ingredient!$A$21:$F$111,2,FALSE)</f>
        <v>package</v>
      </c>
      <c r="E98" t="s">
        <v>114</v>
      </c>
      <c r="F98" t="str">
        <f t="shared" si="1"/>
        <v>provolone is a very nice food and beverage category that is categorized under fusion cuisine</v>
      </c>
      <c r="G98">
        <f>VLOOKUP(IngredientGenerator!C98,Ingredient!$A$21:$F$111,6,FALSE)</f>
        <v>1.2</v>
      </c>
    </row>
    <row r="99" spans="1:7" x14ac:dyDescent="0.25">
      <c r="A99">
        <v>43</v>
      </c>
      <c r="B99" t="s">
        <v>112</v>
      </c>
      <c r="C99" t="str">
        <f>IF(B99="western",randomselection(Ingredient!$A$2:$A$18),IF(B99="asian",randomselection(Ingredient!$B$2:$B$18),IF(B99="fusion",randomselection(Ingredient!$C$2:$C$18),IF(B99="asian",randomselection(Ingredient!$B$2:$B$18),IF(B99="vegetable",randomselection(Ingredient!$D$2:$D$18),randomselection(Ingredient!$E$2:$E$18))))))</f>
        <v>canola oil</v>
      </c>
      <c r="D99" t="str">
        <f>VLOOKUP(IngredientGenerator!C99,Ingredient!$A$21:$F$111,2,FALSE)</f>
        <v>can</v>
      </c>
      <c r="E99" t="s">
        <v>112</v>
      </c>
      <c r="F99" t="str">
        <f t="shared" si="1"/>
        <v>canola oil is a very nice food and beverage category that is categorized under western cuisine</v>
      </c>
      <c r="G99">
        <f>VLOOKUP(IngredientGenerator!C99,Ingredient!$A$21:$F$111,6,FALSE)</f>
        <v>5.3</v>
      </c>
    </row>
    <row r="100" spans="1:7" x14ac:dyDescent="0.25">
      <c r="A100">
        <v>44</v>
      </c>
      <c r="B100" t="s">
        <v>112</v>
      </c>
      <c r="C100" t="str">
        <f>IF(B100="western",randomselection(Ingredient!$A$2:$A$18),IF(B100="asian",randomselection(Ingredient!$B$2:$B$18),IF(B100="fusion",randomselection(Ingredient!$C$2:$C$18),IF(B100="asian",randomselection(Ingredient!$B$2:$B$18),IF(B100="vegetable",randomselection(Ingredient!$D$2:$D$18),randomselection(Ingredient!$E$2:$E$18))))))</f>
        <v>hash browns</v>
      </c>
      <c r="D100" t="str">
        <f>VLOOKUP(IngredientGenerator!C100,Ingredient!$A$21:$F$111,2,FALSE)</f>
        <v>package</v>
      </c>
      <c r="E100" t="s">
        <v>112</v>
      </c>
      <c r="F100" t="str">
        <f t="shared" si="1"/>
        <v>hash browns is a very nice food and beverage category that is categorized under western cuisine</v>
      </c>
      <c r="G100">
        <f>VLOOKUP(IngredientGenerator!C100,Ingredient!$A$21:$F$111,6,FALSE)</f>
        <v>4.5999999999999996</v>
      </c>
    </row>
    <row r="101" spans="1:7" x14ac:dyDescent="0.25">
      <c r="A101">
        <v>45</v>
      </c>
      <c r="B101" t="s">
        <v>112</v>
      </c>
      <c r="C101" t="str">
        <f>IF(B101="western",randomselection(Ingredient!$A$2:$A$18),IF(B101="asian",randomselection(Ingredient!$B$2:$B$18),IF(B101="fusion",randomselection(Ingredient!$C$2:$C$18),IF(B101="asian",randomselection(Ingredient!$B$2:$B$18),IF(B101="vegetable",randomselection(Ingredient!$D$2:$D$18),randomselection(Ingredient!$E$2:$E$18))))))</f>
        <v>poppy seeds</v>
      </c>
      <c r="D101" t="str">
        <f>VLOOKUP(IngredientGenerator!C101,Ingredient!$A$21:$F$111,2,FALSE)</f>
        <v>can</v>
      </c>
      <c r="E101" t="s">
        <v>112</v>
      </c>
      <c r="F101" t="str">
        <f t="shared" si="1"/>
        <v>poppy seeds is a very nice food and beverage category that is categorized under western cuisine</v>
      </c>
      <c r="G101">
        <f>VLOOKUP(IngredientGenerator!C101,Ingredient!$A$21:$F$111,6,FALSE)</f>
        <v>3.7</v>
      </c>
    </row>
    <row r="102" spans="1:7" x14ac:dyDescent="0.25">
      <c r="A102">
        <v>46</v>
      </c>
      <c r="B102" t="s">
        <v>115</v>
      </c>
      <c r="C102" t="str">
        <f>IF(B102="western",randomselection(Ingredient!$A$2:$A$18),IF(B102="asian",randomselection(Ingredient!$B$2:$B$18),IF(B102="fusion",randomselection(Ingredient!$C$2:$C$18),IF(B102="asian",randomselection(Ingredient!$B$2:$B$18),IF(B102="vegetable",randomselection(Ingredient!$D$2:$D$18),randomselection(Ingredient!$E$2:$E$18))))))</f>
        <v>granola</v>
      </c>
      <c r="D102" t="str">
        <f>VLOOKUP(IngredientGenerator!C102,Ingredient!$A$21:$F$111,2,FALSE)</f>
        <v>can</v>
      </c>
      <c r="E102" t="s">
        <v>115</v>
      </c>
      <c r="F102" t="str">
        <f t="shared" si="1"/>
        <v>granola is a very nice food and beverage category that is categorized under vegetable cuisine</v>
      </c>
      <c r="G102">
        <f>VLOOKUP(IngredientGenerator!C102,Ingredient!$A$21:$F$111,6,FALSE)</f>
        <v>1.8</v>
      </c>
    </row>
    <row r="103" spans="1:7" x14ac:dyDescent="0.25">
      <c r="A103">
        <v>47</v>
      </c>
      <c r="B103" t="s">
        <v>114</v>
      </c>
      <c r="C103" t="str">
        <f>IF(B103="western",randomselection(Ingredient!$A$2:$A$18),IF(B103="asian",randomselection(Ingredient!$B$2:$B$18),IF(B103="fusion",randomselection(Ingredient!$C$2:$C$18),IF(B103="asian",randomselection(Ingredient!$B$2:$B$18),IF(B103="vegetable",randomselection(Ingredient!$D$2:$D$18),randomselection(Ingredient!$E$2:$E$18))))))</f>
        <v>feta cheese</v>
      </c>
      <c r="D103" t="str">
        <f>VLOOKUP(IngredientGenerator!C103,Ingredient!$A$21:$F$111,2,FALSE)</f>
        <v>package</v>
      </c>
      <c r="E103" t="s">
        <v>114</v>
      </c>
      <c r="F103" t="str">
        <f t="shared" si="1"/>
        <v>feta cheese is a very nice food and beverage category that is categorized under fusion cuisine</v>
      </c>
      <c r="G103">
        <f>VLOOKUP(IngredientGenerator!C103,Ingredient!$A$21:$F$111,6,FALSE)</f>
        <v>1.7</v>
      </c>
    </row>
    <row r="104" spans="1:7" x14ac:dyDescent="0.25">
      <c r="A104">
        <v>48</v>
      </c>
      <c r="B104" t="s">
        <v>114</v>
      </c>
      <c r="C104" t="str">
        <f>IF(B104="western",randomselection(Ingredient!$A$2:$A$18),IF(B104="asian",randomselection(Ingredient!$B$2:$B$18),IF(B104="fusion",randomselection(Ingredient!$C$2:$C$18),IF(B104="asian",randomselection(Ingredient!$B$2:$B$18),IF(B104="vegetable",randomselection(Ingredient!$D$2:$D$18),randomselection(Ingredient!$E$2:$E$18))))))</f>
        <v>peaches</v>
      </c>
      <c r="D104" t="str">
        <f>VLOOKUP(IngredientGenerator!C104,Ingredient!$A$21:$F$111,2,FALSE)</f>
        <v>can</v>
      </c>
      <c r="E104" t="s">
        <v>114</v>
      </c>
      <c r="F104" t="str">
        <f t="shared" si="1"/>
        <v>peaches is a very nice food and beverage category that is categorized under fusion cuisine</v>
      </c>
      <c r="G104">
        <f>VLOOKUP(IngredientGenerator!C104,Ingredient!$A$21:$F$111,6,FALSE)</f>
        <v>2.2000000000000002</v>
      </c>
    </row>
    <row r="105" spans="1:7" x14ac:dyDescent="0.25">
      <c r="A105">
        <v>49</v>
      </c>
      <c r="B105" t="s">
        <v>114</v>
      </c>
      <c r="C105" t="str">
        <f>IF(B105="western",randomselection(Ingredient!$A$2:$A$18),IF(B105="asian",randomselection(Ingredient!$B$2:$B$18),IF(B105="fusion",randomselection(Ingredient!$C$2:$C$18),IF(B105="asian",randomselection(Ingredient!$B$2:$B$18),IF(B105="vegetable",randomselection(Ingredient!$D$2:$D$18),randomselection(Ingredient!$E$2:$E$18))))))</f>
        <v>apples</v>
      </c>
      <c r="D105" t="str">
        <f>VLOOKUP(IngredientGenerator!C105,Ingredient!$A$21:$F$111,2,FALSE)</f>
        <v>package</v>
      </c>
      <c r="E105" t="s">
        <v>114</v>
      </c>
      <c r="F105" t="str">
        <f t="shared" si="1"/>
        <v>apples is a very nice food and beverage category that is categorized under fusion cuisine</v>
      </c>
      <c r="G105">
        <f>VLOOKUP(IngredientGenerator!C105,Ingredient!$A$21:$F$111,6,FALSE)</f>
        <v>2.5</v>
      </c>
    </row>
    <row r="106" spans="1:7" x14ac:dyDescent="0.25">
      <c r="A106">
        <v>50</v>
      </c>
      <c r="B106" t="s">
        <v>114</v>
      </c>
      <c r="C106" t="str">
        <f>IF(B106="western",randomselection(Ingredient!$A$2:$A$18),IF(B106="asian",randomselection(Ingredient!$B$2:$B$18),IF(B106="fusion",randomselection(Ingredient!$C$2:$C$18),IF(B106="asian",randomselection(Ingredient!$B$2:$B$18),IF(B106="vegetable",randomselection(Ingredient!$D$2:$D$18),randomselection(Ingredient!$E$2:$E$18))))))</f>
        <v>eggplants</v>
      </c>
      <c r="D106" t="str">
        <f>VLOOKUP(IngredientGenerator!C106,Ingredient!$A$21:$F$111,2,FALSE)</f>
        <v>can</v>
      </c>
      <c r="E106" t="s">
        <v>114</v>
      </c>
      <c r="F106" t="str">
        <f t="shared" si="1"/>
        <v>eggplants is a very nice food and beverage category that is categorized under fusion cuisine</v>
      </c>
      <c r="G106">
        <f>VLOOKUP(IngredientGenerator!C106,Ingredient!$A$21:$F$111,6,FALSE)</f>
        <v>5.8</v>
      </c>
    </row>
    <row r="107" spans="1:7" x14ac:dyDescent="0.25">
      <c r="A107">
        <v>51</v>
      </c>
      <c r="B107" t="s">
        <v>114</v>
      </c>
      <c r="C107" t="str">
        <f>IF(B107="western",randomselection(Ingredient!$A$2:$A$18),IF(B107="asian",randomselection(Ingredient!$B$2:$B$18),IF(B107="fusion",randomselection(Ingredient!$C$2:$C$18),IF(B107="asian",randomselection(Ingredient!$B$2:$B$18),IF(B107="vegetable",randomselection(Ingredient!$D$2:$D$18),randomselection(Ingredient!$E$2:$E$18))))))</f>
        <v>cream cheese</v>
      </c>
      <c r="D107" t="str">
        <f>VLOOKUP(IngredientGenerator!C107,Ingredient!$A$21:$F$111,2,FALSE)</f>
        <v>package</v>
      </c>
      <c r="E107" t="s">
        <v>114</v>
      </c>
      <c r="F107" t="str">
        <f t="shared" si="1"/>
        <v>cream cheese is a very nice food and beverage category that is categorized under fusion cuisine</v>
      </c>
      <c r="G107">
        <f>VLOOKUP(IngredientGenerator!C107,Ingredient!$A$21:$F$111,6,FALSE)</f>
        <v>2.2000000000000002</v>
      </c>
    </row>
    <row r="108" spans="1:7" x14ac:dyDescent="0.25">
      <c r="A108">
        <v>52</v>
      </c>
      <c r="B108" t="s">
        <v>114</v>
      </c>
      <c r="C108" t="str">
        <f>IF(B108="western",randomselection(Ingredient!$A$2:$A$18),IF(B108="asian",randomselection(Ingredient!$B$2:$B$18),IF(B108="fusion",randomselection(Ingredient!$C$2:$C$18),IF(B108="asian",randomselection(Ingredient!$B$2:$B$18),IF(B108="vegetable",randomselection(Ingredient!$D$2:$D$18),randomselection(Ingredient!$E$2:$E$18))))))</f>
        <v>colby cheese</v>
      </c>
      <c r="D108" t="str">
        <f>VLOOKUP(IngredientGenerator!C108,Ingredient!$A$21:$F$111,2,FALSE)</f>
        <v>package</v>
      </c>
      <c r="E108" t="s">
        <v>114</v>
      </c>
      <c r="F108" t="str">
        <f t="shared" si="1"/>
        <v>colby cheese is a very nice food and beverage category that is categorized under fusion cuisine</v>
      </c>
      <c r="G108">
        <f>VLOOKUP(IngredientGenerator!C108,Ingredient!$A$21:$F$111,6,FALSE)</f>
        <v>2.2000000000000002</v>
      </c>
    </row>
    <row r="109" spans="1:7" x14ac:dyDescent="0.25">
      <c r="A109">
        <v>53</v>
      </c>
      <c r="B109" t="s">
        <v>113</v>
      </c>
      <c r="C109" t="str">
        <f>IF(B109="western",randomselection(Ingredient!$A$2:$A$18),IF(B109="asian",randomselection(Ingredient!$B$2:$B$18),IF(B109="fusion",randomselection(Ingredient!$C$2:$C$18),IF(B109="asian",randomselection(Ingredient!$B$2:$B$18),IF(B109="vegetable",randomselection(Ingredient!$D$2:$D$18),randomselection(Ingredient!$E$2:$E$18))))))</f>
        <v>tea</v>
      </c>
      <c r="D109" t="str">
        <f>VLOOKUP(IngredientGenerator!C109,Ingredient!$A$21:$F$111,2,FALSE)</f>
        <v>package</v>
      </c>
      <c r="E109" t="s">
        <v>113</v>
      </c>
      <c r="F109" t="str">
        <f t="shared" si="1"/>
        <v>tea is a very nice food and beverage category that is categorized under asian cuisine</v>
      </c>
      <c r="G109">
        <f>VLOOKUP(IngredientGenerator!C109,Ingredient!$A$21:$F$111,6,FALSE)</f>
        <v>3.2</v>
      </c>
    </row>
    <row r="110" spans="1:7" x14ac:dyDescent="0.25">
      <c r="A110">
        <v>54</v>
      </c>
      <c r="B110" t="s">
        <v>114</v>
      </c>
      <c r="C110" t="str">
        <f>IF(B110="western",randomselection(Ingredient!$A$2:$A$18),IF(B110="asian",randomselection(Ingredient!$B$2:$B$18),IF(B110="fusion",randomselection(Ingredient!$C$2:$C$18),IF(B110="asian",randomselection(Ingredient!$B$2:$B$18),IF(B110="vegetable",randomselection(Ingredient!$D$2:$D$18),randomselection(Ingredient!$E$2:$E$18))))))</f>
        <v>provolone</v>
      </c>
      <c r="D110" t="str">
        <f>VLOOKUP(IngredientGenerator!C110,Ingredient!$A$21:$F$111,2,FALSE)</f>
        <v>package</v>
      </c>
      <c r="E110" t="s">
        <v>114</v>
      </c>
      <c r="F110" t="str">
        <f t="shared" si="1"/>
        <v>provolone is a very nice food and beverage category that is categorized under fusion cuisine</v>
      </c>
      <c r="G110">
        <f>VLOOKUP(IngredientGenerator!C110,Ingredient!$A$21:$F$111,6,FALSE)</f>
        <v>1.2</v>
      </c>
    </row>
    <row r="111" spans="1:7" x14ac:dyDescent="0.25">
      <c r="A111">
        <v>55</v>
      </c>
      <c r="B111" t="s">
        <v>112</v>
      </c>
      <c r="C111" t="str">
        <f>IF(B111="western",randomselection(Ingredient!$A$2:$A$18),IF(B111="asian",randomselection(Ingredient!$B$2:$B$18),IF(B111="fusion",randomselection(Ingredient!$C$2:$C$18),IF(B111="asian",randomselection(Ingredient!$B$2:$B$18),IF(B111="vegetable",randomselection(Ingredient!$D$2:$D$18),randomselection(Ingredient!$E$2:$E$18))))))</f>
        <v>hamburger</v>
      </c>
      <c r="D111" t="str">
        <f>VLOOKUP(IngredientGenerator!C111,Ingredient!$A$21:$F$111,2,FALSE)</f>
        <v>piece</v>
      </c>
      <c r="E111" t="s">
        <v>112</v>
      </c>
      <c r="F111" t="str">
        <f t="shared" si="1"/>
        <v>hamburger is a very nice food and beverage category that is categorized under western cuisine</v>
      </c>
      <c r="G111">
        <f>VLOOKUP(IngredientGenerator!C111,Ingredient!$A$21:$F$111,6,FALSE)</f>
        <v>1.1000000000000001</v>
      </c>
    </row>
    <row r="112" spans="1:7" x14ac:dyDescent="0.25">
      <c r="A112">
        <v>56</v>
      </c>
      <c r="B112" t="s">
        <v>112</v>
      </c>
      <c r="C112" t="str">
        <f>IF(B112="western",randomselection(Ingredient!$A$2:$A$18),IF(B112="asian",randomselection(Ingredient!$B$2:$B$18),IF(B112="fusion",randomselection(Ingredient!$C$2:$C$18),IF(B112="asian",randomselection(Ingredient!$B$2:$B$18),IF(B112="vegetable",randomselection(Ingredient!$D$2:$D$18),randomselection(Ingredient!$E$2:$E$18))))))</f>
        <v>bean threads</v>
      </c>
      <c r="D112" t="str">
        <f>VLOOKUP(IngredientGenerator!C112,Ingredient!$A$21:$F$111,2,FALSE)</f>
        <v>can</v>
      </c>
      <c r="E112" t="s">
        <v>112</v>
      </c>
      <c r="F112" t="str">
        <f t="shared" si="1"/>
        <v>bean threads is a very nice food and beverage category that is categorized under western cuisine</v>
      </c>
      <c r="G112">
        <f>VLOOKUP(IngredientGenerator!C112,Ingredient!$A$21:$F$111,6,FALSE)</f>
        <v>4.8</v>
      </c>
    </row>
    <row r="113" spans="1:7" x14ac:dyDescent="0.25">
      <c r="A113">
        <v>57</v>
      </c>
      <c r="B113" t="s">
        <v>116</v>
      </c>
      <c r="C113" t="str">
        <f>IF(B113="western",randomselection(Ingredient!$A$2:$A$18),IF(B113="asian",randomselection(Ingredient!$B$2:$B$18),IF(B113="fusion",randomselection(Ingredient!$C$2:$C$18),IF(B113="asian",randomselection(Ingredient!$B$2:$B$18),IF(B113="vegetable",randomselection(Ingredient!$D$2:$D$18),randomselection(Ingredient!$E$2:$E$18))))))</f>
        <v>black-eyed peas</v>
      </c>
      <c r="D113" t="str">
        <f>VLOOKUP(IngredientGenerator!C113,Ingredient!$A$21:$F$111,2,FALSE)</f>
        <v>can</v>
      </c>
      <c r="E113" t="s">
        <v>116</v>
      </c>
      <c r="F113" t="str">
        <f t="shared" si="1"/>
        <v>black-eyed peas is a very nice food and beverage category that is categorized under beverage cuisine</v>
      </c>
      <c r="G113">
        <f>VLOOKUP(IngredientGenerator!C113,Ingredient!$A$21:$F$111,6,FALSE)</f>
        <v>2.5</v>
      </c>
    </row>
    <row r="114" spans="1:7" x14ac:dyDescent="0.25">
      <c r="A114">
        <v>58</v>
      </c>
      <c r="B114" t="s">
        <v>112</v>
      </c>
      <c r="C114" t="str">
        <f>IF(B114="western",randomselection(Ingredient!$A$2:$A$18),IF(B114="asian",randomselection(Ingredient!$B$2:$B$18),IF(B114="fusion",randomselection(Ingredient!$C$2:$C$18),IF(B114="asian",randomselection(Ingredient!$B$2:$B$18),IF(B114="vegetable",randomselection(Ingredient!$D$2:$D$18),randomselection(Ingredient!$E$2:$E$18))))))</f>
        <v>garlic</v>
      </c>
      <c r="D114" t="str">
        <f>VLOOKUP(IngredientGenerator!C114,Ingredient!$A$21:$F$111,2,FALSE)</f>
        <v>piece</v>
      </c>
      <c r="E114" t="s">
        <v>112</v>
      </c>
      <c r="F114" t="str">
        <f t="shared" si="1"/>
        <v>garlic is a very nice food and beverage category that is categorized under western cuisine</v>
      </c>
      <c r="G114">
        <f>VLOOKUP(IngredientGenerator!C114,Ingredient!$A$21:$F$111,6,FALSE)</f>
        <v>3.1</v>
      </c>
    </row>
    <row r="115" spans="1:7" x14ac:dyDescent="0.25">
      <c r="A115">
        <v>59</v>
      </c>
      <c r="B115" t="s">
        <v>112</v>
      </c>
      <c r="C115" t="str">
        <f>IF(B115="western",randomselection(Ingredient!$A$2:$A$18),IF(B115="asian",randomselection(Ingredient!$B$2:$B$18),IF(B115="fusion",randomselection(Ingredient!$C$2:$C$18),IF(B115="asian",randomselection(Ingredient!$B$2:$B$18),IF(B115="vegetable",randomselection(Ingredient!$D$2:$D$18),randomselection(Ingredient!$E$2:$E$18))))))</f>
        <v>pasta</v>
      </c>
      <c r="D115" t="str">
        <f>VLOOKUP(IngredientGenerator!C115,Ingredient!$A$21:$F$111,2,FALSE)</f>
        <v>can</v>
      </c>
      <c r="E115" t="s">
        <v>112</v>
      </c>
      <c r="F115" t="str">
        <f t="shared" si="1"/>
        <v>pasta is a very nice food and beverage category that is categorized under western cuisine</v>
      </c>
      <c r="G115">
        <f>VLOOKUP(IngredientGenerator!C115,Ingredient!$A$21:$F$111,6,FALSE)</f>
        <v>3</v>
      </c>
    </row>
    <row r="116" spans="1:7" x14ac:dyDescent="0.25">
      <c r="A116">
        <v>60</v>
      </c>
      <c r="B116" t="s">
        <v>113</v>
      </c>
      <c r="C116" t="str">
        <f>IF(B116="western",randomselection(Ingredient!$A$2:$A$18),IF(B116="asian",randomselection(Ingredient!$B$2:$B$18),IF(B116="fusion",randomselection(Ingredient!$C$2:$C$18),IF(B116="asian",randomselection(Ingredient!$B$2:$B$18),IF(B116="vegetable",randomselection(Ingredient!$D$2:$D$18),randomselection(Ingredient!$E$2:$E$18))))))</f>
        <v>liver</v>
      </c>
      <c r="D116" t="str">
        <f>VLOOKUP(IngredientGenerator!C116,Ingredient!$A$21:$F$111,2,FALSE)</f>
        <v>piece</v>
      </c>
      <c r="E116" t="s">
        <v>113</v>
      </c>
      <c r="F116" t="str">
        <f t="shared" si="1"/>
        <v>liver is a very nice food and beverage category that is categorized under asian cuisine</v>
      </c>
      <c r="G116">
        <f>VLOOKUP(IngredientGenerator!C116,Ingredient!$A$21:$F$111,6,FALSE)</f>
        <v>4.5</v>
      </c>
    </row>
    <row r="117" spans="1:7" x14ac:dyDescent="0.25">
      <c r="A117">
        <v>61</v>
      </c>
      <c r="B117" t="s">
        <v>113</v>
      </c>
      <c r="C117" t="str">
        <f>IF(B117="western",randomselection(Ingredient!$A$2:$A$18),IF(B117="asian",randomselection(Ingredient!$B$2:$B$18),IF(B117="fusion",randomselection(Ingredient!$C$2:$C$18),IF(B117="asian",randomselection(Ingredient!$B$2:$B$18),IF(B117="vegetable",randomselection(Ingredient!$D$2:$D$18),randomselection(Ingredient!$E$2:$E$18))))))</f>
        <v>cornmeal</v>
      </c>
      <c r="D117" t="str">
        <f>VLOOKUP(IngredientGenerator!C117,Ingredient!$A$21:$F$111,2,FALSE)</f>
        <v>can</v>
      </c>
      <c r="E117" t="s">
        <v>113</v>
      </c>
      <c r="F117" t="str">
        <f t="shared" si="1"/>
        <v>cornmeal is a very nice food and beverage category that is categorized under asian cuisine</v>
      </c>
      <c r="G117">
        <f>VLOOKUP(IngredientGenerator!C117,Ingredient!$A$21:$F$111,6,FALSE)</f>
        <v>2.1</v>
      </c>
    </row>
    <row r="118" spans="1:7" x14ac:dyDescent="0.25">
      <c r="A118">
        <v>62</v>
      </c>
      <c r="B118" t="s">
        <v>112</v>
      </c>
      <c r="C118" t="str">
        <f>IF(B118="western",randomselection(Ingredient!$A$2:$A$18),IF(B118="asian",randomselection(Ingredient!$B$2:$B$18),IF(B118="fusion",randomselection(Ingredient!$C$2:$C$18),IF(B118="asian",randomselection(Ingredient!$B$2:$B$18),IF(B118="vegetable",randomselection(Ingredient!$D$2:$D$18),randomselection(Ingredient!$E$2:$E$18))))))</f>
        <v>garlic</v>
      </c>
      <c r="D118" t="str">
        <f>VLOOKUP(IngredientGenerator!C118,Ingredient!$A$21:$F$111,2,FALSE)</f>
        <v>piece</v>
      </c>
      <c r="E118" t="s">
        <v>112</v>
      </c>
      <c r="F118" t="str">
        <f t="shared" si="1"/>
        <v>garlic is a very nice food and beverage category that is categorized under western cuisine</v>
      </c>
      <c r="G118">
        <f>VLOOKUP(IngredientGenerator!C118,Ingredient!$A$21:$F$111,6,FALSE)</f>
        <v>3.1</v>
      </c>
    </row>
    <row r="119" spans="1:7" x14ac:dyDescent="0.25">
      <c r="A119">
        <v>63</v>
      </c>
      <c r="B119" t="s">
        <v>116</v>
      </c>
      <c r="C119" t="str">
        <f>IF(B119="western",randomselection(Ingredient!$A$2:$A$18),IF(B119="asian",randomselection(Ingredient!$B$2:$B$18),IF(B119="fusion",randomselection(Ingredient!$C$2:$C$18),IF(B119="asian",randomselection(Ingredient!$B$2:$B$18),IF(B119="vegetable",randomselection(Ingredient!$D$2:$D$18),randomselection(Ingredient!$E$2:$E$18))))))</f>
        <v>amaretto</v>
      </c>
      <c r="D119" t="str">
        <f>VLOOKUP(IngredientGenerator!C119,Ingredient!$A$21:$F$111,2,FALSE)</f>
        <v>package</v>
      </c>
      <c r="E119" t="s">
        <v>116</v>
      </c>
      <c r="F119" t="str">
        <f t="shared" si="1"/>
        <v>amaretto is a very nice food and beverage category that is categorized under beverage cuisine</v>
      </c>
      <c r="G119">
        <f>VLOOKUP(IngredientGenerator!C119,Ingredient!$A$21:$F$111,6,FALSE)</f>
        <v>1.1000000000000001</v>
      </c>
    </row>
    <row r="120" spans="1:7" x14ac:dyDescent="0.25">
      <c r="A120">
        <v>64</v>
      </c>
      <c r="B120" t="s">
        <v>112</v>
      </c>
      <c r="C120" t="str">
        <f>IF(B120="western",randomselection(Ingredient!$A$2:$A$18),IF(B120="asian",randomselection(Ingredient!$B$2:$B$18),IF(B120="fusion",randomselection(Ingredient!$C$2:$C$18),IF(B120="asian",randomselection(Ingredient!$B$2:$B$18),IF(B120="vegetable",randomselection(Ingredient!$D$2:$D$18),randomselection(Ingredient!$E$2:$E$18))))))</f>
        <v>sauerkraut</v>
      </c>
      <c r="D120" t="str">
        <f>VLOOKUP(IngredientGenerator!C120,Ingredient!$A$21:$F$111,2,FALSE)</f>
        <v>can</v>
      </c>
      <c r="E120" t="s">
        <v>112</v>
      </c>
      <c r="F120" t="str">
        <f t="shared" si="1"/>
        <v>sauerkraut is a very nice food and beverage category that is categorized under western cuisine</v>
      </c>
      <c r="G120">
        <f>VLOOKUP(IngredientGenerator!C120,Ingredient!$A$21:$F$111,6,FALSE)</f>
        <v>4</v>
      </c>
    </row>
    <row r="121" spans="1:7" x14ac:dyDescent="0.25">
      <c r="A121">
        <v>65</v>
      </c>
      <c r="B121" t="s">
        <v>112</v>
      </c>
      <c r="C121" t="str">
        <f>IF(B121="western",randomselection(Ingredient!$A$2:$A$18),IF(B121="asian",randomselection(Ingredient!$B$2:$B$18),IF(B121="fusion",randomselection(Ingredient!$C$2:$C$18),IF(B121="asian",randomselection(Ingredient!$B$2:$B$18),IF(B121="vegetable",randomselection(Ingredient!$D$2:$D$18),randomselection(Ingredient!$E$2:$E$18))))))</f>
        <v>pasta</v>
      </c>
      <c r="D121" t="str">
        <f>VLOOKUP(IngredientGenerator!C121,Ingredient!$A$21:$F$111,2,FALSE)</f>
        <v>can</v>
      </c>
      <c r="E121" t="s">
        <v>112</v>
      </c>
      <c r="F121" t="str">
        <f t="shared" si="1"/>
        <v>pasta is a very nice food and beverage category that is categorized under western cuisine</v>
      </c>
      <c r="G121">
        <f>VLOOKUP(IngredientGenerator!C121,Ingredient!$A$21:$F$111,6,FALSE)</f>
        <v>3</v>
      </c>
    </row>
    <row r="122" spans="1:7" x14ac:dyDescent="0.25">
      <c r="A122">
        <v>6</v>
      </c>
      <c r="B122" t="s">
        <v>112</v>
      </c>
      <c r="C122" t="str">
        <f>IF(B122="western",randomselection(Ingredient!$A$2:$A$18),IF(B122="asian",randomselection(Ingredient!$B$2:$B$18),IF(B122="fusion",randomselection(Ingredient!$C$2:$C$18),IF(B122="asian",randomselection(Ingredient!$B$2:$B$18),IF(B122="vegetable",randomselection(Ingredient!$D$2:$D$18),randomselection(Ingredient!$E$2:$E$18))))))</f>
        <v>hamburger</v>
      </c>
      <c r="D122" t="str">
        <f>VLOOKUP(IngredientGenerator!C122,Ingredient!$A$21:$F$111,2,FALSE)</f>
        <v>piece</v>
      </c>
      <c r="E122" t="s">
        <v>112</v>
      </c>
      <c r="F122" t="str">
        <f t="shared" si="1"/>
        <v>hamburger is a very nice food and beverage category that is categorized under western cuisine</v>
      </c>
      <c r="G122">
        <f>VLOOKUP(IngredientGenerator!C122,Ingredient!$A$21:$F$111,6,FALSE)</f>
        <v>1.1000000000000001</v>
      </c>
    </row>
    <row r="123" spans="1:7" x14ac:dyDescent="0.25">
      <c r="A123">
        <v>7</v>
      </c>
      <c r="B123" t="s">
        <v>113</v>
      </c>
      <c r="C123" t="str">
        <f>IF(B123="western",randomselection(Ingredient!$A$2:$A$18),IF(B123="asian",randomselection(Ingredient!$B$2:$B$18),IF(B123="fusion",randomselection(Ingredient!$C$2:$C$18),IF(B123="asian",randomselection(Ingredient!$B$2:$B$18),IF(B123="vegetable",randomselection(Ingredient!$D$2:$D$18),randomselection(Ingredient!$E$2:$E$18))))))</f>
        <v>lettuce</v>
      </c>
      <c r="D123" t="str">
        <f>VLOOKUP(IngredientGenerator!C123,Ingredient!$A$21:$F$111,2,FALSE)</f>
        <v>package</v>
      </c>
      <c r="E123" t="s">
        <v>113</v>
      </c>
      <c r="F123" t="str">
        <f t="shared" si="1"/>
        <v>lettuce is a very nice food and beverage category that is categorized under asian cuisine</v>
      </c>
      <c r="G123">
        <f>VLOOKUP(IngredientGenerator!C123,Ingredient!$A$21:$F$111,6,FALSE)</f>
        <v>2.6</v>
      </c>
    </row>
    <row r="124" spans="1:7" x14ac:dyDescent="0.25">
      <c r="A124">
        <v>8</v>
      </c>
      <c r="B124" t="s">
        <v>114</v>
      </c>
      <c r="C124" t="str">
        <f>IF(B124="western",randomselection(Ingredient!$A$2:$A$18),IF(B124="asian",randomselection(Ingredient!$B$2:$B$18),IF(B124="fusion",randomselection(Ingredient!$C$2:$C$18),IF(B124="asian",randomselection(Ingredient!$B$2:$B$18),IF(B124="vegetable",randomselection(Ingredient!$D$2:$D$18),randomselection(Ingredient!$E$2:$E$18))))))</f>
        <v>red pepper flakes</v>
      </c>
      <c r="D124" t="str">
        <f>VLOOKUP(IngredientGenerator!C124,Ingredient!$A$21:$F$111,2,FALSE)</f>
        <v>package</v>
      </c>
      <c r="E124" t="s">
        <v>114</v>
      </c>
      <c r="F124" t="str">
        <f t="shared" si="1"/>
        <v>red pepper flakes is a very nice food and beverage category that is categorized under fusion cuisine</v>
      </c>
      <c r="G124">
        <f>VLOOKUP(IngredientGenerator!C124,Ingredient!$A$21:$F$111,6,FALSE)</f>
        <v>2</v>
      </c>
    </row>
    <row r="125" spans="1:7" x14ac:dyDescent="0.25">
      <c r="A125">
        <v>9</v>
      </c>
      <c r="B125" t="s">
        <v>114</v>
      </c>
      <c r="C125" t="str">
        <f>IF(B125="western",randomselection(Ingredient!$A$2:$A$18),IF(B125="asian",randomselection(Ingredient!$B$2:$B$18),IF(B125="fusion",randomselection(Ingredient!$C$2:$C$18),IF(B125="asian",randomselection(Ingredient!$B$2:$B$18),IF(B125="vegetable",randomselection(Ingredient!$D$2:$D$18),randomselection(Ingredient!$E$2:$E$18))))))</f>
        <v>spearmint</v>
      </c>
      <c r="D125" t="str">
        <f>VLOOKUP(IngredientGenerator!C125,Ingredient!$A$21:$F$111,2,FALSE)</f>
        <v>package</v>
      </c>
      <c r="E125" t="s">
        <v>114</v>
      </c>
      <c r="F125" t="str">
        <f t="shared" si="1"/>
        <v>spearmint is a very nice food and beverage category that is categorized under fusion cuisine</v>
      </c>
      <c r="G125">
        <f>VLOOKUP(IngredientGenerator!C125,Ingredient!$A$21:$F$111,6,FALSE)</f>
        <v>4</v>
      </c>
    </row>
    <row r="126" spans="1:7" x14ac:dyDescent="0.25">
      <c r="A126">
        <v>10</v>
      </c>
      <c r="B126" t="s">
        <v>115</v>
      </c>
      <c r="C126" t="str">
        <f>IF(B126="western",randomselection(Ingredient!$A$2:$A$18),IF(B126="asian",randomselection(Ingredient!$B$2:$B$18),IF(B126="fusion",randomselection(Ingredient!$C$2:$C$18),IF(B126="asian",randomselection(Ingredient!$B$2:$B$18),IF(B126="vegetable",randomselection(Ingredient!$D$2:$D$18),randomselection(Ingredient!$E$2:$E$18))))))</f>
        <v>black-eyed peas</v>
      </c>
      <c r="D126" t="str">
        <f>VLOOKUP(IngredientGenerator!C126,Ingredient!$A$21:$F$111,2,FALSE)</f>
        <v>can</v>
      </c>
      <c r="E126" t="s">
        <v>115</v>
      </c>
      <c r="F126" t="str">
        <f t="shared" si="1"/>
        <v>black-eyed peas is a very nice food and beverage category that is categorized under vegetable cuisine</v>
      </c>
      <c r="G126">
        <f>VLOOKUP(IngredientGenerator!C126,Ingredient!$A$21:$F$111,6,FALSE)</f>
        <v>2.5</v>
      </c>
    </row>
    <row r="127" spans="1:7" x14ac:dyDescent="0.25">
      <c r="A127">
        <v>11</v>
      </c>
      <c r="B127" t="s">
        <v>116</v>
      </c>
      <c r="C127" t="str">
        <f>IF(B127="western",randomselection(Ingredient!$A$2:$A$18),IF(B127="asian",randomselection(Ingredient!$B$2:$B$18),IF(B127="fusion",randomselection(Ingredient!$C$2:$C$18),IF(B127="asian",randomselection(Ingredient!$B$2:$B$18),IF(B127="vegetable",randomselection(Ingredient!$D$2:$D$18),randomselection(Ingredient!$E$2:$E$18))))))</f>
        <v>amaretto</v>
      </c>
      <c r="D127" t="str">
        <f>VLOOKUP(IngredientGenerator!C127,Ingredient!$A$21:$F$111,2,FALSE)</f>
        <v>package</v>
      </c>
      <c r="E127" t="s">
        <v>116</v>
      </c>
      <c r="F127" t="str">
        <f t="shared" si="1"/>
        <v>amaretto is a very nice food and beverage category that is categorized under beverage cuisine</v>
      </c>
      <c r="G127">
        <f>VLOOKUP(IngredientGenerator!C127,Ingredient!$A$21:$F$111,6,FALSE)</f>
        <v>1.1000000000000001</v>
      </c>
    </row>
    <row r="128" spans="1:7" x14ac:dyDescent="0.25">
      <c r="A128">
        <v>12</v>
      </c>
      <c r="B128" t="s">
        <v>116</v>
      </c>
      <c r="C128" t="str">
        <f>IF(B128="western",randomselection(Ingredient!$A$2:$A$18),IF(B128="asian",randomselection(Ingredient!$B$2:$B$18),IF(B128="fusion",randomselection(Ingredient!$C$2:$C$18),IF(B128="asian",randomselection(Ingredient!$B$2:$B$18),IF(B128="vegetable",randomselection(Ingredient!$D$2:$D$18),randomselection(Ingredient!$E$2:$E$18))))))</f>
        <v>broccoli</v>
      </c>
      <c r="D128" t="str">
        <f>VLOOKUP(IngredientGenerator!C128,Ingredient!$A$21:$F$111,2,FALSE)</f>
        <v>package</v>
      </c>
      <c r="E128" t="s">
        <v>116</v>
      </c>
      <c r="F128" t="str">
        <f t="shared" si="1"/>
        <v>broccoli is a very nice food and beverage category that is categorized under beverage cuisine</v>
      </c>
      <c r="G128">
        <f>VLOOKUP(IngredientGenerator!C128,Ingredient!$A$21:$F$111,6,FALSE)</f>
        <v>1.5</v>
      </c>
    </row>
    <row r="129" spans="1:7" x14ac:dyDescent="0.25">
      <c r="A129">
        <v>13</v>
      </c>
      <c r="B129" t="s">
        <v>116</v>
      </c>
      <c r="C129" t="str">
        <f>IF(B129="western",randomselection(Ingredient!$A$2:$A$18),IF(B129="asian",randomselection(Ingredient!$B$2:$B$18),IF(B129="fusion",randomselection(Ingredient!$C$2:$C$18),IF(B129="asian",randomselection(Ingredient!$B$2:$B$18),IF(B129="vegetable",randomselection(Ingredient!$D$2:$D$18),randomselection(Ingredient!$E$2:$E$18))))))</f>
        <v>cayenne pepper</v>
      </c>
      <c r="D129" t="str">
        <f>VLOOKUP(IngredientGenerator!C129,Ingredient!$A$21:$F$111,2,FALSE)</f>
        <v>can</v>
      </c>
      <c r="E129" t="s">
        <v>116</v>
      </c>
      <c r="F129" t="str">
        <f t="shared" si="1"/>
        <v>cayenne pepper is a very nice food and beverage category that is categorized under beverage cuisine</v>
      </c>
      <c r="G129">
        <f>VLOOKUP(IngredientGenerator!C129,Ingredient!$A$21:$F$111,6,FALSE)</f>
        <v>3.1</v>
      </c>
    </row>
    <row r="130" spans="1:7" x14ac:dyDescent="0.25">
      <c r="A130">
        <v>14</v>
      </c>
      <c r="B130" t="s">
        <v>113</v>
      </c>
      <c r="C130" t="str">
        <f>IF(B130="western",randomselection(Ingredient!$A$2:$A$18),IF(B130="asian",randomselection(Ingredient!$B$2:$B$18),IF(B130="fusion",randomselection(Ingredient!$C$2:$C$18),IF(B130="asian",randomselection(Ingredient!$B$2:$B$18),IF(B130="vegetable",randomselection(Ingredient!$D$2:$D$18),randomselection(Ingredient!$E$2:$E$18))))))</f>
        <v>cantaloupes</v>
      </c>
      <c r="D130" t="str">
        <f>VLOOKUP(IngredientGenerator!C130,Ingredient!$A$21:$F$111,2,FALSE)</f>
        <v>piece</v>
      </c>
      <c r="E130" t="s">
        <v>113</v>
      </c>
      <c r="F130" t="str">
        <f t="shared" ref="F130:F193" si="2">CONCATENATE(C130," is a very nice food and beverage category that is categorized under ",E130," cuisine")</f>
        <v>cantaloupes is a very nice food and beverage category that is categorized under asian cuisine</v>
      </c>
      <c r="G130">
        <f>VLOOKUP(IngredientGenerator!C130,Ingredient!$A$21:$F$111,6,FALSE)</f>
        <v>6.9</v>
      </c>
    </row>
    <row r="131" spans="1:7" x14ac:dyDescent="0.25">
      <c r="A131">
        <v>15</v>
      </c>
      <c r="B131" t="s">
        <v>116</v>
      </c>
      <c r="C131" t="str">
        <f>IF(B131="western",randomselection(Ingredient!$A$2:$A$18),IF(B131="asian",randomselection(Ingredient!$B$2:$B$18),IF(B131="fusion",randomselection(Ingredient!$C$2:$C$18),IF(B131="asian",randomselection(Ingredient!$B$2:$B$18),IF(B131="vegetable",randomselection(Ingredient!$D$2:$D$18),randomselection(Ingredient!$E$2:$E$18))))))</f>
        <v>fennel</v>
      </c>
      <c r="D131" t="str">
        <f>VLOOKUP(IngredientGenerator!C131,Ingredient!$A$21:$F$111,2,FALSE)</f>
        <v>can</v>
      </c>
      <c r="E131" t="s">
        <v>116</v>
      </c>
      <c r="F131" t="str">
        <f t="shared" si="2"/>
        <v>fennel is a very nice food and beverage category that is categorized under beverage cuisine</v>
      </c>
      <c r="G131">
        <f>VLOOKUP(IngredientGenerator!C131,Ingredient!$A$21:$F$111,6,FALSE)</f>
        <v>4</v>
      </c>
    </row>
    <row r="132" spans="1:7" x14ac:dyDescent="0.25">
      <c r="A132">
        <v>16</v>
      </c>
      <c r="B132" t="s">
        <v>114</v>
      </c>
      <c r="C132" t="str">
        <f>IF(B132="western",randomselection(Ingredient!$A$2:$A$18),IF(B132="asian",randomselection(Ingredient!$B$2:$B$18),IF(B132="fusion",randomselection(Ingredient!$C$2:$C$18),IF(B132="asian",randomselection(Ingredient!$B$2:$B$18),IF(B132="vegetable",randomselection(Ingredient!$D$2:$D$18),randomselection(Ingredient!$E$2:$E$18))))))</f>
        <v>mackerel</v>
      </c>
      <c r="D132" t="str">
        <f>VLOOKUP(IngredientGenerator!C132,Ingredient!$A$21:$F$111,2,FALSE)</f>
        <v>piece</v>
      </c>
      <c r="E132" t="s">
        <v>114</v>
      </c>
      <c r="F132" t="str">
        <f t="shared" si="2"/>
        <v>mackerel is a very nice food and beverage category that is categorized under fusion cuisine</v>
      </c>
      <c r="G132">
        <f>VLOOKUP(IngredientGenerator!C132,Ingredient!$A$21:$F$111,6,FALSE)</f>
        <v>8.3000000000000007</v>
      </c>
    </row>
    <row r="133" spans="1:7" x14ac:dyDescent="0.25">
      <c r="A133">
        <v>17</v>
      </c>
      <c r="B133" t="s">
        <v>113</v>
      </c>
      <c r="C133" t="str">
        <f>IF(B133="western",randomselection(Ingredient!$A$2:$A$18),IF(B133="asian",randomselection(Ingredient!$B$2:$B$18),IF(B133="fusion",randomselection(Ingredient!$C$2:$C$18),IF(B133="asian",randomselection(Ingredient!$B$2:$B$18),IF(B133="vegetable",randomselection(Ingredient!$D$2:$D$18),randomselection(Ingredient!$E$2:$E$18))))))</f>
        <v>mushrooms</v>
      </c>
      <c r="D133" t="str">
        <f>VLOOKUP(IngredientGenerator!C133,Ingredient!$A$21:$F$111,2,FALSE)</f>
        <v>can</v>
      </c>
      <c r="E133" t="s">
        <v>113</v>
      </c>
      <c r="F133" t="str">
        <f t="shared" si="2"/>
        <v>mushrooms is a very nice food and beverage category that is categorized under asian cuisine</v>
      </c>
      <c r="G133">
        <f>VLOOKUP(IngredientGenerator!C133,Ingredient!$A$21:$F$111,6,FALSE)</f>
        <v>4.4000000000000004</v>
      </c>
    </row>
    <row r="134" spans="1:7" x14ac:dyDescent="0.25">
      <c r="A134">
        <v>18</v>
      </c>
      <c r="B134" t="s">
        <v>114</v>
      </c>
      <c r="C134" t="str">
        <f>IF(B134="western",randomselection(Ingredient!$A$2:$A$18),IF(B134="asian",randomselection(Ingredient!$B$2:$B$18),IF(B134="fusion",randomselection(Ingredient!$C$2:$C$18),IF(B134="asian",randomselection(Ingredient!$B$2:$B$18),IF(B134="vegetable",randomselection(Ingredient!$D$2:$D$18),randomselection(Ingredient!$E$2:$E$18))))))</f>
        <v>peaches</v>
      </c>
      <c r="D134" t="str">
        <f>VLOOKUP(IngredientGenerator!C134,Ingredient!$A$21:$F$111,2,FALSE)</f>
        <v>can</v>
      </c>
      <c r="E134" t="s">
        <v>114</v>
      </c>
      <c r="F134" t="str">
        <f t="shared" si="2"/>
        <v>peaches is a very nice food and beverage category that is categorized under fusion cuisine</v>
      </c>
      <c r="G134">
        <f>VLOOKUP(IngredientGenerator!C134,Ingredient!$A$21:$F$111,6,FALSE)</f>
        <v>2.2000000000000002</v>
      </c>
    </row>
    <row r="135" spans="1:7" x14ac:dyDescent="0.25">
      <c r="A135">
        <v>19</v>
      </c>
      <c r="B135" t="s">
        <v>114</v>
      </c>
      <c r="C135" t="str">
        <f>IF(B135="western",randomselection(Ingredient!$A$2:$A$18),IF(B135="asian",randomselection(Ingredient!$B$2:$B$18),IF(B135="fusion",randomselection(Ingredient!$C$2:$C$18),IF(B135="asian",randomselection(Ingredient!$B$2:$B$18),IF(B135="vegetable",randomselection(Ingredient!$D$2:$D$18),randomselection(Ingredient!$E$2:$E$18))))))</f>
        <v>spearmint</v>
      </c>
      <c r="D135" t="str">
        <f>VLOOKUP(IngredientGenerator!C135,Ingredient!$A$21:$F$111,2,FALSE)</f>
        <v>package</v>
      </c>
      <c r="E135" t="s">
        <v>114</v>
      </c>
      <c r="F135" t="str">
        <f t="shared" si="2"/>
        <v>spearmint is a very nice food and beverage category that is categorized under fusion cuisine</v>
      </c>
      <c r="G135">
        <f>VLOOKUP(IngredientGenerator!C135,Ingredient!$A$21:$F$111,6,FALSE)</f>
        <v>4</v>
      </c>
    </row>
    <row r="136" spans="1:7" x14ac:dyDescent="0.25">
      <c r="A136">
        <v>20</v>
      </c>
      <c r="B136" t="s">
        <v>114</v>
      </c>
      <c r="C136" t="str">
        <f>IF(B136="western",randomselection(Ingredient!$A$2:$A$18),IF(B136="asian",randomselection(Ingredient!$B$2:$B$18),IF(B136="fusion",randomselection(Ingredient!$C$2:$C$18),IF(B136="asian",randomselection(Ingredient!$B$2:$B$18),IF(B136="vegetable",randomselection(Ingredient!$D$2:$D$18),randomselection(Ingredient!$E$2:$E$18))))))</f>
        <v>plantains</v>
      </c>
      <c r="D136" t="str">
        <f>VLOOKUP(IngredientGenerator!C136,Ingredient!$A$21:$F$111,2,FALSE)</f>
        <v>can</v>
      </c>
      <c r="E136" t="s">
        <v>114</v>
      </c>
      <c r="F136" t="str">
        <f t="shared" si="2"/>
        <v>plantains is a very nice food and beverage category that is categorized under fusion cuisine</v>
      </c>
      <c r="G136">
        <f>VLOOKUP(IngredientGenerator!C136,Ingredient!$A$21:$F$111,6,FALSE)</f>
        <v>3.5</v>
      </c>
    </row>
    <row r="137" spans="1:7" x14ac:dyDescent="0.25">
      <c r="A137">
        <v>21</v>
      </c>
      <c r="B137" t="s">
        <v>113</v>
      </c>
      <c r="C137" t="str">
        <f>IF(B137="western",randomselection(Ingredient!$A$2:$A$18),IF(B137="asian",randomselection(Ingredient!$B$2:$B$18),IF(B137="fusion",randomselection(Ingredient!$C$2:$C$18),IF(B137="asian",randomselection(Ingredient!$B$2:$B$18),IF(B137="vegetable",randomselection(Ingredient!$D$2:$D$18),randomselection(Ingredient!$E$2:$E$18))))))</f>
        <v>cornmeal</v>
      </c>
      <c r="D137" t="str">
        <f>VLOOKUP(IngredientGenerator!C137,Ingredient!$A$21:$F$111,2,FALSE)</f>
        <v>can</v>
      </c>
      <c r="E137" t="s">
        <v>113</v>
      </c>
      <c r="F137" t="str">
        <f t="shared" si="2"/>
        <v>cornmeal is a very nice food and beverage category that is categorized under asian cuisine</v>
      </c>
      <c r="G137">
        <f>VLOOKUP(IngredientGenerator!C137,Ingredient!$A$21:$F$111,6,FALSE)</f>
        <v>2.1</v>
      </c>
    </row>
    <row r="138" spans="1:7" x14ac:dyDescent="0.25">
      <c r="A138">
        <v>22</v>
      </c>
      <c r="B138" t="s">
        <v>116</v>
      </c>
      <c r="C138" t="str">
        <f>IF(B138="western",randomselection(Ingredient!$A$2:$A$18),IF(B138="asian",randomselection(Ingredient!$B$2:$B$18),IF(B138="fusion",randomselection(Ingredient!$C$2:$C$18),IF(B138="asian",randomselection(Ingredient!$B$2:$B$18),IF(B138="vegetable",randomselection(Ingredient!$D$2:$D$18),randomselection(Ingredient!$E$2:$E$18))))))</f>
        <v>fennel</v>
      </c>
      <c r="D138" t="str">
        <f>VLOOKUP(IngredientGenerator!C138,Ingredient!$A$21:$F$111,2,FALSE)</f>
        <v>can</v>
      </c>
      <c r="E138" t="s">
        <v>116</v>
      </c>
      <c r="F138" t="str">
        <f t="shared" si="2"/>
        <v>fennel is a very nice food and beverage category that is categorized under beverage cuisine</v>
      </c>
      <c r="G138">
        <f>VLOOKUP(IngredientGenerator!C138,Ingredient!$A$21:$F$111,6,FALSE)</f>
        <v>4</v>
      </c>
    </row>
    <row r="139" spans="1:7" x14ac:dyDescent="0.25">
      <c r="A139">
        <v>23</v>
      </c>
      <c r="B139" t="s">
        <v>112</v>
      </c>
      <c r="C139" t="str">
        <f>IF(B139="western",randomselection(Ingredient!$A$2:$A$18),IF(B139="asian",randomselection(Ingredient!$B$2:$B$18),IF(B139="fusion",randomselection(Ingredient!$C$2:$C$18),IF(B139="asian",randomselection(Ingredient!$B$2:$B$18),IF(B139="vegetable",randomselection(Ingredient!$D$2:$D$18),randomselection(Ingredient!$E$2:$E$18))))))</f>
        <v>hash browns</v>
      </c>
      <c r="D139" t="str">
        <f>VLOOKUP(IngredientGenerator!C139,Ingredient!$A$21:$F$111,2,FALSE)</f>
        <v>package</v>
      </c>
      <c r="E139" t="s">
        <v>112</v>
      </c>
      <c r="F139" t="str">
        <f t="shared" si="2"/>
        <v>hash browns is a very nice food and beverage category that is categorized under western cuisine</v>
      </c>
      <c r="G139">
        <f>VLOOKUP(IngredientGenerator!C139,Ingredient!$A$21:$F$111,6,FALSE)</f>
        <v>4.5999999999999996</v>
      </c>
    </row>
    <row r="140" spans="1:7" x14ac:dyDescent="0.25">
      <c r="A140">
        <v>24</v>
      </c>
      <c r="B140" t="s">
        <v>112</v>
      </c>
      <c r="C140" t="str">
        <f>IF(B140="western",randomselection(Ingredient!$A$2:$A$18),IF(B140="asian",randomselection(Ingredient!$B$2:$B$18),IF(B140="fusion",randomselection(Ingredient!$C$2:$C$18),IF(B140="asian",randomselection(Ingredient!$B$2:$B$18),IF(B140="vegetable",randomselection(Ingredient!$D$2:$D$18),randomselection(Ingredient!$E$2:$E$18))))))</f>
        <v>french fries</v>
      </c>
      <c r="D140" t="str">
        <f>VLOOKUP(IngredientGenerator!C140,Ingredient!$A$21:$F$111,2,FALSE)</f>
        <v>package</v>
      </c>
      <c r="E140" t="s">
        <v>112</v>
      </c>
      <c r="F140" t="str">
        <f t="shared" si="2"/>
        <v>french fries is a very nice food and beverage category that is categorized under western cuisine</v>
      </c>
      <c r="G140">
        <f>VLOOKUP(IngredientGenerator!C140,Ingredient!$A$21:$F$111,6,FALSE)</f>
        <v>2.2000000000000002</v>
      </c>
    </row>
    <row r="141" spans="1:7" x14ac:dyDescent="0.25">
      <c r="A141">
        <v>25</v>
      </c>
      <c r="B141" t="s">
        <v>113</v>
      </c>
      <c r="C141" t="str">
        <f>IF(B141="western",randomselection(Ingredient!$A$2:$A$18),IF(B141="asian",randomselection(Ingredient!$B$2:$B$18),IF(B141="fusion",randomselection(Ingredient!$C$2:$C$18),IF(B141="asian",randomselection(Ingredient!$B$2:$B$18),IF(B141="vegetable",randomselection(Ingredient!$D$2:$D$18),randomselection(Ingredient!$E$2:$E$18))))))</f>
        <v>gelatin</v>
      </c>
      <c r="D141" t="str">
        <f>VLOOKUP(IngredientGenerator!C141,Ingredient!$A$21:$F$111,2,FALSE)</f>
        <v>can</v>
      </c>
      <c r="E141" t="s">
        <v>113</v>
      </c>
      <c r="F141" t="str">
        <f t="shared" si="2"/>
        <v>gelatin is a very nice food and beverage category that is categorized under asian cuisine</v>
      </c>
      <c r="G141">
        <f>VLOOKUP(IngredientGenerator!C141,Ingredient!$A$21:$F$111,6,FALSE)</f>
        <v>2</v>
      </c>
    </row>
    <row r="142" spans="1:7" x14ac:dyDescent="0.25">
      <c r="A142">
        <v>26</v>
      </c>
      <c r="B142" t="s">
        <v>112</v>
      </c>
      <c r="C142" t="str">
        <f>IF(B142="western",randomselection(Ingredient!$A$2:$A$18),IF(B142="asian",randomselection(Ingredient!$B$2:$B$18),IF(B142="fusion",randomselection(Ingredient!$C$2:$C$18),IF(B142="asian",randomselection(Ingredient!$B$2:$B$18),IF(B142="vegetable",randomselection(Ingredient!$D$2:$D$18),randomselection(Ingredient!$E$2:$E$18))))))</f>
        <v>lobsters</v>
      </c>
      <c r="D142" t="str">
        <f>VLOOKUP(IngredientGenerator!C142,Ingredient!$A$21:$F$111,2,FALSE)</f>
        <v>piece</v>
      </c>
      <c r="E142" t="s">
        <v>112</v>
      </c>
      <c r="F142" t="str">
        <f t="shared" si="2"/>
        <v>lobsters is a very nice food and beverage category that is categorized under western cuisine</v>
      </c>
      <c r="G142">
        <f>VLOOKUP(IngredientGenerator!C142,Ingredient!$A$21:$F$111,6,FALSE)</f>
        <v>5</v>
      </c>
    </row>
    <row r="143" spans="1:7" x14ac:dyDescent="0.25">
      <c r="A143">
        <v>27</v>
      </c>
      <c r="B143" t="s">
        <v>112</v>
      </c>
      <c r="C143" t="str">
        <f>IF(B143="western",randomselection(Ingredient!$A$2:$A$18),IF(B143="asian",randomselection(Ingredient!$B$2:$B$18),IF(B143="fusion",randomselection(Ingredient!$C$2:$C$18),IF(B143="asian",randomselection(Ingredient!$B$2:$B$18),IF(B143="vegetable",randomselection(Ingredient!$D$2:$D$18),randomselection(Ingredient!$E$2:$E$18))))))</f>
        <v>canola oil</v>
      </c>
      <c r="D143" t="str">
        <f>VLOOKUP(IngredientGenerator!C143,Ingredient!$A$21:$F$111,2,FALSE)</f>
        <v>can</v>
      </c>
      <c r="E143" t="s">
        <v>112</v>
      </c>
      <c r="F143" t="str">
        <f t="shared" si="2"/>
        <v>canola oil is a very nice food and beverage category that is categorized under western cuisine</v>
      </c>
      <c r="G143">
        <f>VLOOKUP(IngredientGenerator!C143,Ingredient!$A$21:$F$111,6,FALSE)</f>
        <v>5.3</v>
      </c>
    </row>
    <row r="144" spans="1:7" x14ac:dyDescent="0.25">
      <c r="A144">
        <v>28</v>
      </c>
      <c r="B144" t="s">
        <v>114</v>
      </c>
      <c r="C144" t="str">
        <f>IF(B144="western",randomselection(Ingredient!$A$2:$A$18),IF(B144="asian",randomselection(Ingredient!$B$2:$B$18),IF(B144="fusion",randomselection(Ingredient!$C$2:$C$18),IF(B144="asian",randomselection(Ingredient!$B$2:$B$18),IF(B144="vegetable",randomselection(Ingredient!$D$2:$D$18),randomselection(Ingredient!$E$2:$E$18))))))</f>
        <v>cottage cheese</v>
      </c>
      <c r="D144" t="str">
        <f>VLOOKUP(IngredientGenerator!C144,Ingredient!$A$21:$F$111,2,FALSE)</f>
        <v>package</v>
      </c>
      <c r="E144" t="s">
        <v>114</v>
      </c>
      <c r="F144" t="str">
        <f t="shared" si="2"/>
        <v>cottage cheese is a very nice food and beverage category that is categorized under fusion cuisine</v>
      </c>
      <c r="G144">
        <f>VLOOKUP(IngredientGenerator!C144,Ingredient!$A$21:$F$111,6,FALSE)</f>
        <v>3.1</v>
      </c>
    </row>
    <row r="145" spans="1:7" x14ac:dyDescent="0.25">
      <c r="A145">
        <v>29</v>
      </c>
      <c r="B145" t="s">
        <v>114</v>
      </c>
      <c r="C145" t="str">
        <f>IF(B145="western",randomselection(Ingredient!$A$2:$A$18),IF(B145="asian",randomselection(Ingredient!$B$2:$B$18),IF(B145="fusion",randomselection(Ingredient!$C$2:$C$18),IF(B145="asian",randomselection(Ingredient!$B$2:$B$18),IF(B145="vegetable",randomselection(Ingredient!$D$2:$D$18),randomselection(Ingredient!$E$2:$E$18))))))</f>
        <v>cream cheese</v>
      </c>
      <c r="D145" t="str">
        <f>VLOOKUP(IngredientGenerator!C145,Ingredient!$A$21:$F$111,2,FALSE)</f>
        <v>package</v>
      </c>
      <c r="E145" t="s">
        <v>114</v>
      </c>
      <c r="F145" t="str">
        <f t="shared" si="2"/>
        <v>cream cheese is a very nice food and beverage category that is categorized under fusion cuisine</v>
      </c>
      <c r="G145">
        <f>VLOOKUP(IngredientGenerator!C145,Ingredient!$A$21:$F$111,6,FALSE)</f>
        <v>2.2000000000000002</v>
      </c>
    </row>
    <row r="146" spans="1:7" x14ac:dyDescent="0.25">
      <c r="A146">
        <v>30</v>
      </c>
      <c r="B146" t="s">
        <v>116</v>
      </c>
      <c r="C146" t="str">
        <f>IF(B146="western",randomselection(Ingredient!$A$2:$A$18),IF(B146="asian",randomselection(Ingredient!$B$2:$B$18),IF(B146="fusion",randomselection(Ingredient!$C$2:$C$18),IF(B146="asian",randomselection(Ingredient!$B$2:$B$18),IF(B146="vegetable",randomselection(Ingredient!$D$2:$D$18),randomselection(Ingredient!$E$2:$E$18))))))</f>
        <v>jicama</v>
      </c>
      <c r="D146" t="str">
        <f>VLOOKUP(IngredientGenerator!C146,Ingredient!$A$21:$F$111,2,FALSE)</f>
        <v>package</v>
      </c>
      <c r="E146" t="s">
        <v>116</v>
      </c>
      <c r="F146" t="str">
        <f t="shared" si="2"/>
        <v>jicama is a very nice food and beverage category that is categorized under beverage cuisine</v>
      </c>
      <c r="G146">
        <f>VLOOKUP(IngredientGenerator!C146,Ingredient!$A$21:$F$111,6,FALSE)</f>
        <v>1.4</v>
      </c>
    </row>
    <row r="147" spans="1:7" x14ac:dyDescent="0.25">
      <c r="A147">
        <v>31</v>
      </c>
      <c r="B147" t="s">
        <v>116</v>
      </c>
      <c r="C147" t="str">
        <f>IF(B147="western",randomselection(Ingredient!$A$2:$A$18),IF(B147="asian",randomselection(Ingredient!$B$2:$B$18),IF(B147="fusion",randomselection(Ingredient!$C$2:$C$18),IF(B147="asian",randomselection(Ingredient!$B$2:$B$18),IF(B147="vegetable",randomselection(Ingredient!$D$2:$D$18),randomselection(Ingredient!$E$2:$E$18))))))</f>
        <v>amaretto</v>
      </c>
      <c r="D147" t="str">
        <f>VLOOKUP(IngredientGenerator!C147,Ingredient!$A$21:$F$111,2,FALSE)</f>
        <v>package</v>
      </c>
      <c r="E147" t="s">
        <v>116</v>
      </c>
      <c r="F147" t="str">
        <f t="shared" si="2"/>
        <v>amaretto is a very nice food and beverage category that is categorized under beverage cuisine</v>
      </c>
      <c r="G147">
        <f>VLOOKUP(IngredientGenerator!C147,Ingredient!$A$21:$F$111,6,FALSE)</f>
        <v>1.1000000000000001</v>
      </c>
    </row>
    <row r="148" spans="1:7" x14ac:dyDescent="0.25">
      <c r="A148">
        <v>32</v>
      </c>
      <c r="B148" t="s">
        <v>114</v>
      </c>
      <c r="C148" t="str">
        <f>IF(B148="western",randomselection(Ingredient!$A$2:$A$18),IF(B148="asian",randomselection(Ingredient!$B$2:$B$18),IF(B148="fusion",randomselection(Ingredient!$C$2:$C$18),IF(B148="asian",randomselection(Ingredient!$B$2:$B$18),IF(B148="vegetable",randomselection(Ingredient!$D$2:$D$18),randomselection(Ingredient!$E$2:$E$18))))))</f>
        <v>cream cheese</v>
      </c>
      <c r="D148" t="str">
        <f>VLOOKUP(IngredientGenerator!C148,Ingredient!$A$21:$F$111,2,FALSE)</f>
        <v>package</v>
      </c>
      <c r="E148" t="s">
        <v>114</v>
      </c>
      <c r="F148" t="str">
        <f t="shared" si="2"/>
        <v>cream cheese is a very nice food and beverage category that is categorized under fusion cuisine</v>
      </c>
      <c r="G148">
        <f>VLOOKUP(IngredientGenerator!C148,Ingredient!$A$21:$F$111,6,FALSE)</f>
        <v>2.2000000000000002</v>
      </c>
    </row>
    <row r="149" spans="1:7" x14ac:dyDescent="0.25">
      <c r="A149">
        <v>33</v>
      </c>
      <c r="B149" t="s">
        <v>112</v>
      </c>
      <c r="C149" t="str">
        <f>IF(B149="western",randomselection(Ingredient!$A$2:$A$18),IF(B149="asian",randomselection(Ingredient!$B$2:$B$18),IF(B149="fusion",randomselection(Ingredient!$C$2:$C$18),IF(B149="asian",randomselection(Ingredient!$B$2:$B$18),IF(B149="vegetable",randomselection(Ingredient!$D$2:$D$18),randomselection(Ingredient!$E$2:$E$18))))))</f>
        <v>lobsters</v>
      </c>
      <c r="D149" t="str">
        <f>VLOOKUP(IngredientGenerator!C149,Ingredient!$A$21:$F$111,2,FALSE)</f>
        <v>piece</v>
      </c>
      <c r="E149" t="s">
        <v>112</v>
      </c>
      <c r="F149" t="str">
        <f t="shared" si="2"/>
        <v>lobsters is a very nice food and beverage category that is categorized under western cuisine</v>
      </c>
      <c r="G149">
        <f>VLOOKUP(IngredientGenerator!C149,Ingredient!$A$21:$F$111,6,FALSE)</f>
        <v>5</v>
      </c>
    </row>
    <row r="150" spans="1:7" x14ac:dyDescent="0.25">
      <c r="A150">
        <v>34</v>
      </c>
      <c r="B150" t="s">
        <v>112</v>
      </c>
      <c r="C150" t="str">
        <f>IF(B150="western",randomselection(Ingredient!$A$2:$A$18),IF(B150="asian",randomselection(Ingredient!$B$2:$B$18),IF(B150="fusion",randomselection(Ingredient!$C$2:$C$18),IF(B150="asian",randomselection(Ingredient!$B$2:$B$18),IF(B150="vegetable",randomselection(Ingredient!$D$2:$D$18),randomselection(Ingredient!$E$2:$E$18))))))</f>
        <v>ale</v>
      </c>
      <c r="D150" t="str">
        <f>VLOOKUP(IngredientGenerator!C150,Ingredient!$A$21:$F$111,2,FALSE)</f>
        <v>package</v>
      </c>
      <c r="E150" t="s">
        <v>112</v>
      </c>
      <c r="F150" t="str">
        <f t="shared" si="2"/>
        <v>ale is a very nice food and beverage category that is categorized under western cuisine</v>
      </c>
      <c r="G150">
        <f>VLOOKUP(IngredientGenerator!C150,Ingredient!$A$21:$F$111,6,FALSE)</f>
        <v>2.2999999999999998</v>
      </c>
    </row>
    <row r="151" spans="1:7" x14ac:dyDescent="0.25">
      <c r="A151">
        <v>35</v>
      </c>
      <c r="B151" t="s">
        <v>113</v>
      </c>
      <c r="C151" t="str">
        <f>IF(B151="western",randomselection(Ingredient!$A$2:$A$18),IF(B151="asian",randomselection(Ingredient!$B$2:$B$18),IF(B151="fusion",randomselection(Ingredient!$C$2:$C$18),IF(B151="asian",randomselection(Ingredient!$B$2:$B$18),IF(B151="vegetable",randomselection(Ingredient!$D$2:$D$18),randomselection(Ingredient!$E$2:$E$18))))))</f>
        <v>mushrooms</v>
      </c>
      <c r="D151" t="str">
        <f>VLOOKUP(IngredientGenerator!C151,Ingredient!$A$21:$F$111,2,FALSE)</f>
        <v>can</v>
      </c>
      <c r="E151" t="s">
        <v>113</v>
      </c>
      <c r="F151" t="str">
        <f t="shared" si="2"/>
        <v>mushrooms is a very nice food and beverage category that is categorized under asian cuisine</v>
      </c>
      <c r="G151">
        <f>VLOOKUP(IngredientGenerator!C151,Ingredient!$A$21:$F$111,6,FALSE)</f>
        <v>4.4000000000000004</v>
      </c>
    </row>
    <row r="152" spans="1:7" x14ac:dyDescent="0.25">
      <c r="A152">
        <v>36</v>
      </c>
      <c r="B152" t="s">
        <v>112</v>
      </c>
      <c r="C152" t="str">
        <f>IF(B152="western",randomselection(Ingredient!$A$2:$A$18),IF(B152="asian",randomselection(Ingredient!$B$2:$B$18),IF(B152="fusion",randomselection(Ingredient!$C$2:$C$18),IF(B152="asian",randomselection(Ingredient!$B$2:$B$18),IF(B152="vegetable",randomselection(Ingredient!$D$2:$D$18),randomselection(Ingredient!$E$2:$E$18))))))</f>
        <v>french fries</v>
      </c>
      <c r="D152" t="str">
        <f>VLOOKUP(IngredientGenerator!C152,Ingredient!$A$21:$F$111,2,FALSE)</f>
        <v>package</v>
      </c>
      <c r="E152" t="s">
        <v>112</v>
      </c>
      <c r="F152" t="str">
        <f t="shared" si="2"/>
        <v>french fries is a very nice food and beverage category that is categorized under western cuisine</v>
      </c>
      <c r="G152">
        <f>VLOOKUP(IngredientGenerator!C152,Ingredient!$A$21:$F$111,6,FALSE)</f>
        <v>2.2000000000000002</v>
      </c>
    </row>
    <row r="153" spans="1:7" x14ac:dyDescent="0.25">
      <c r="A153">
        <v>37</v>
      </c>
      <c r="B153" t="s">
        <v>115</v>
      </c>
      <c r="C153" t="str">
        <f>IF(B153="western",randomselection(Ingredient!$A$2:$A$18),IF(B153="asian",randomselection(Ingredient!$B$2:$B$18),IF(B153="fusion",randomselection(Ingredient!$C$2:$C$18),IF(B153="asian",randomselection(Ingredient!$B$2:$B$18),IF(B153="vegetable",randomselection(Ingredient!$D$2:$D$18),randomselection(Ingredient!$E$2:$E$18))))))</f>
        <v>bean sprouts</v>
      </c>
      <c r="D153" t="str">
        <f>VLOOKUP(IngredientGenerator!C153,Ingredient!$A$21:$F$111,2,FALSE)</f>
        <v>can</v>
      </c>
      <c r="E153" t="s">
        <v>115</v>
      </c>
      <c r="F153" t="str">
        <f t="shared" si="2"/>
        <v>bean sprouts is a very nice food and beverage category that is categorized under vegetable cuisine</v>
      </c>
      <c r="G153">
        <f>VLOOKUP(IngredientGenerator!C153,Ingredient!$A$21:$F$111,6,FALSE)</f>
        <v>2.4</v>
      </c>
    </row>
    <row r="154" spans="1:7" x14ac:dyDescent="0.25">
      <c r="A154">
        <v>38</v>
      </c>
      <c r="B154" t="s">
        <v>114</v>
      </c>
      <c r="C154" t="str">
        <f>IF(B154="western",randomselection(Ingredient!$A$2:$A$18),IF(B154="asian",randomselection(Ingredient!$B$2:$B$18),IF(B154="fusion",randomselection(Ingredient!$C$2:$C$18),IF(B154="asian",randomselection(Ingredient!$B$2:$B$18),IF(B154="vegetable",randomselection(Ingredient!$D$2:$D$18),randomselection(Ingredient!$E$2:$E$18))))))</f>
        <v>feta cheese</v>
      </c>
      <c r="D154" t="str">
        <f>VLOOKUP(IngredientGenerator!C154,Ingredient!$A$21:$F$111,2,FALSE)</f>
        <v>package</v>
      </c>
      <c r="E154" t="s">
        <v>114</v>
      </c>
      <c r="F154" t="str">
        <f t="shared" si="2"/>
        <v>feta cheese is a very nice food and beverage category that is categorized under fusion cuisine</v>
      </c>
      <c r="G154">
        <f>VLOOKUP(IngredientGenerator!C154,Ingredient!$A$21:$F$111,6,FALSE)</f>
        <v>1.7</v>
      </c>
    </row>
    <row r="155" spans="1:7" x14ac:dyDescent="0.25">
      <c r="A155">
        <v>39</v>
      </c>
      <c r="B155" t="s">
        <v>114</v>
      </c>
      <c r="C155" t="str">
        <f>IF(B155="western",randomselection(Ingredient!$A$2:$A$18),IF(B155="asian",randomselection(Ingredient!$B$2:$B$18),IF(B155="fusion",randomselection(Ingredient!$C$2:$C$18),IF(B155="asian",randomselection(Ingredient!$B$2:$B$18),IF(B155="vegetable",randomselection(Ingredient!$D$2:$D$18),randomselection(Ingredient!$E$2:$E$18))))))</f>
        <v>red pepper flakes</v>
      </c>
      <c r="D155" t="str">
        <f>VLOOKUP(IngredientGenerator!C155,Ingredient!$A$21:$F$111,2,FALSE)</f>
        <v>package</v>
      </c>
      <c r="E155" t="s">
        <v>114</v>
      </c>
      <c r="F155" t="str">
        <f t="shared" si="2"/>
        <v>red pepper flakes is a very nice food and beverage category that is categorized under fusion cuisine</v>
      </c>
      <c r="G155">
        <f>VLOOKUP(IngredientGenerator!C155,Ingredient!$A$21:$F$111,6,FALSE)</f>
        <v>2</v>
      </c>
    </row>
    <row r="156" spans="1:7" x14ac:dyDescent="0.25">
      <c r="A156">
        <v>40</v>
      </c>
      <c r="B156" t="s">
        <v>113</v>
      </c>
      <c r="C156" t="str">
        <f>IF(B156="western",randomselection(Ingredient!$A$2:$A$18),IF(B156="asian",randomselection(Ingredient!$B$2:$B$18),IF(B156="fusion",randomselection(Ingredient!$C$2:$C$18),IF(B156="asian",randomselection(Ingredient!$B$2:$B$18),IF(B156="vegetable",randomselection(Ingredient!$D$2:$D$18),randomselection(Ingredient!$E$2:$E$18))))))</f>
        <v>mushrooms</v>
      </c>
      <c r="D156" t="str">
        <f>VLOOKUP(IngredientGenerator!C156,Ingredient!$A$21:$F$111,2,FALSE)</f>
        <v>can</v>
      </c>
      <c r="E156" t="s">
        <v>113</v>
      </c>
      <c r="F156" t="str">
        <f t="shared" si="2"/>
        <v>mushrooms is a very nice food and beverage category that is categorized under asian cuisine</v>
      </c>
      <c r="G156">
        <f>VLOOKUP(IngredientGenerator!C156,Ingredient!$A$21:$F$111,6,FALSE)</f>
        <v>4.4000000000000004</v>
      </c>
    </row>
    <row r="157" spans="1:7" x14ac:dyDescent="0.25">
      <c r="A157">
        <v>41</v>
      </c>
      <c r="B157" t="s">
        <v>115</v>
      </c>
      <c r="C157" t="str">
        <f>IF(B157="western",randomselection(Ingredient!$A$2:$A$18),IF(B157="asian",randomselection(Ingredient!$B$2:$B$18),IF(B157="fusion",randomselection(Ingredient!$C$2:$C$18),IF(B157="asian",randomselection(Ingredient!$B$2:$B$18),IF(B157="vegetable",randomselection(Ingredient!$D$2:$D$18),randomselection(Ingredient!$E$2:$E$18))))))</f>
        <v>brussels sprouts</v>
      </c>
      <c r="D157" t="str">
        <f>VLOOKUP(IngredientGenerator!C157,Ingredient!$A$21:$F$111,2,FALSE)</f>
        <v>can</v>
      </c>
      <c r="E157" t="s">
        <v>115</v>
      </c>
      <c r="F157" t="str">
        <f t="shared" si="2"/>
        <v>brussels sprouts is a very nice food and beverage category that is categorized under vegetable cuisine</v>
      </c>
      <c r="G157">
        <f>VLOOKUP(IngredientGenerator!C157,Ingredient!$A$21:$F$111,6,FALSE)</f>
        <v>2.7</v>
      </c>
    </row>
    <row r="158" spans="1:7" x14ac:dyDescent="0.25">
      <c r="A158">
        <v>42</v>
      </c>
      <c r="B158" t="s">
        <v>114</v>
      </c>
      <c r="C158" t="str">
        <f>IF(B158="western",randomselection(Ingredient!$A$2:$A$18),IF(B158="asian",randomselection(Ingredient!$B$2:$B$18),IF(B158="fusion",randomselection(Ingredient!$C$2:$C$18),IF(B158="asian",randomselection(Ingredient!$B$2:$B$18),IF(B158="vegetable",randomselection(Ingredient!$D$2:$D$18),randomselection(Ingredient!$E$2:$E$18))))))</f>
        <v>red pepper flakes</v>
      </c>
      <c r="D158" t="str">
        <f>VLOOKUP(IngredientGenerator!C158,Ingredient!$A$21:$F$111,2,FALSE)</f>
        <v>package</v>
      </c>
      <c r="E158" t="s">
        <v>114</v>
      </c>
      <c r="F158" t="str">
        <f t="shared" si="2"/>
        <v>red pepper flakes is a very nice food and beverage category that is categorized under fusion cuisine</v>
      </c>
      <c r="G158">
        <f>VLOOKUP(IngredientGenerator!C158,Ingredient!$A$21:$F$111,6,FALSE)</f>
        <v>2</v>
      </c>
    </row>
    <row r="159" spans="1:7" x14ac:dyDescent="0.25">
      <c r="A159">
        <v>43</v>
      </c>
      <c r="B159" t="s">
        <v>112</v>
      </c>
      <c r="C159" t="str">
        <f>IF(B159="western",randomselection(Ingredient!$A$2:$A$18),IF(B159="asian",randomselection(Ingredient!$B$2:$B$18),IF(B159="fusion",randomselection(Ingredient!$C$2:$C$18),IF(B159="asian",randomselection(Ingredient!$B$2:$B$18),IF(B159="vegetable",randomselection(Ingredient!$D$2:$D$18),randomselection(Ingredient!$E$2:$E$18))))))</f>
        <v>pasta</v>
      </c>
      <c r="D159" t="str">
        <f>VLOOKUP(IngredientGenerator!C159,Ingredient!$A$21:$F$111,2,FALSE)</f>
        <v>can</v>
      </c>
      <c r="E159" t="s">
        <v>112</v>
      </c>
      <c r="F159" t="str">
        <f t="shared" si="2"/>
        <v>pasta is a very nice food and beverage category that is categorized under western cuisine</v>
      </c>
      <c r="G159">
        <f>VLOOKUP(IngredientGenerator!C159,Ingredient!$A$21:$F$111,6,FALSE)</f>
        <v>3</v>
      </c>
    </row>
    <row r="160" spans="1:7" x14ac:dyDescent="0.25">
      <c r="A160">
        <v>44</v>
      </c>
      <c r="B160" t="s">
        <v>112</v>
      </c>
      <c r="C160" t="str">
        <f>IF(B160="western",randomselection(Ingredient!$A$2:$A$18),IF(B160="asian",randomselection(Ingredient!$B$2:$B$18),IF(B160="fusion",randomselection(Ingredient!$C$2:$C$18),IF(B160="asian",randomselection(Ingredient!$B$2:$B$18),IF(B160="vegetable",randomselection(Ingredient!$D$2:$D$18),randomselection(Ingredient!$E$2:$E$18))))))</f>
        <v>lobsters</v>
      </c>
      <c r="D160" t="str">
        <f>VLOOKUP(IngredientGenerator!C160,Ingredient!$A$21:$F$111,2,FALSE)</f>
        <v>piece</v>
      </c>
      <c r="E160" t="s">
        <v>112</v>
      </c>
      <c r="F160" t="str">
        <f t="shared" si="2"/>
        <v>lobsters is a very nice food and beverage category that is categorized under western cuisine</v>
      </c>
      <c r="G160">
        <f>VLOOKUP(IngredientGenerator!C160,Ingredient!$A$21:$F$111,6,FALSE)</f>
        <v>5</v>
      </c>
    </row>
    <row r="161" spans="1:7" x14ac:dyDescent="0.25">
      <c r="A161">
        <v>45</v>
      </c>
      <c r="B161" t="s">
        <v>112</v>
      </c>
      <c r="C161" t="str">
        <f>IF(B161="western",randomselection(Ingredient!$A$2:$A$18),IF(B161="asian",randomselection(Ingredient!$B$2:$B$18),IF(B161="fusion",randomselection(Ingredient!$C$2:$C$18),IF(B161="asian",randomselection(Ingredient!$B$2:$B$18),IF(B161="vegetable",randomselection(Ingredient!$D$2:$D$18),randomselection(Ingredient!$E$2:$E$18))))))</f>
        <v>corned beef</v>
      </c>
      <c r="D161" t="str">
        <f>VLOOKUP(IngredientGenerator!C161,Ingredient!$A$21:$F$111,2,FALSE)</f>
        <v>can</v>
      </c>
      <c r="E161" t="s">
        <v>112</v>
      </c>
      <c r="F161" t="str">
        <f t="shared" si="2"/>
        <v>corned beef is a very nice food and beverage category that is categorized under western cuisine</v>
      </c>
      <c r="G161">
        <f>VLOOKUP(IngredientGenerator!C161,Ingredient!$A$21:$F$111,6,FALSE)</f>
        <v>5.0999999999999996</v>
      </c>
    </row>
    <row r="162" spans="1:7" x14ac:dyDescent="0.25">
      <c r="A162">
        <v>46</v>
      </c>
      <c r="B162" t="s">
        <v>115</v>
      </c>
      <c r="C162" t="str">
        <f>IF(B162="western",randomselection(Ingredient!$A$2:$A$18),IF(B162="asian",randomselection(Ingredient!$B$2:$B$18),IF(B162="fusion",randomselection(Ingredient!$C$2:$C$18),IF(B162="asian",randomselection(Ingredient!$B$2:$B$18),IF(B162="vegetable",randomselection(Ingredient!$D$2:$D$18),randomselection(Ingredient!$E$2:$E$18))))))</f>
        <v>black-eyed peas</v>
      </c>
      <c r="D162" t="str">
        <f>VLOOKUP(IngredientGenerator!C162,Ingredient!$A$21:$F$111,2,FALSE)</f>
        <v>can</v>
      </c>
      <c r="E162" t="s">
        <v>115</v>
      </c>
      <c r="F162" t="str">
        <f t="shared" si="2"/>
        <v>black-eyed peas is a very nice food and beverage category that is categorized under vegetable cuisine</v>
      </c>
      <c r="G162">
        <f>VLOOKUP(IngredientGenerator!C162,Ingredient!$A$21:$F$111,6,FALSE)</f>
        <v>2.5</v>
      </c>
    </row>
    <row r="163" spans="1:7" x14ac:dyDescent="0.25">
      <c r="A163">
        <v>47</v>
      </c>
      <c r="B163" t="s">
        <v>114</v>
      </c>
      <c r="C163" t="str">
        <f>IF(B163="western",randomselection(Ingredient!$A$2:$A$18),IF(B163="asian",randomselection(Ingredient!$B$2:$B$18),IF(B163="fusion",randomselection(Ingredient!$C$2:$C$18),IF(B163="asian",randomselection(Ingredient!$B$2:$B$18),IF(B163="vegetable",randomselection(Ingredient!$D$2:$D$18),randomselection(Ingredient!$E$2:$E$18))))))</f>
        <v>red pepper flakes</v>
      </c>
      <c r="D163" t="str">
        <f>VLOOKUP(IngredientGenerator!C163,Ingredient!$A$21:$F$111,2,FALSE)</f>
        <v>package</v>
      </c>
      <c r="E163" t="s">
        <v>114</v>
      </c>
      <c r="F163" t="str">
        <f t="shared" si="2"/>
        <v>red pepper flakes is a very nice food and beverage category that is categorized under fusion cuisine</v>
      </c>
      <c r="G163">
        <f>VLOOKUP(IngredientGenerator!C163,Ingredient!$A$21:$F$111,6,FALSE)</f>
        <v>2</v>
      </c>
    </row>
    <row r="164" spans="1:7" x14ac:dyDescent="0.25">
      <c r="A164">
        <v>48</v>
      </c>
      <c r="B164" t="s">
        <v>114</v>
      </c>
      <c r="C164" t="str">
        <f>IF(B164="western",randomselection(Ingredient!$A$2:$A$18),IF(B164="asian",randomselection(Ingredient!$B$2:$B$18),IF(B164="fusion",randomselection(Ingredient!$C$2:$C$18),IF(B164="asian",randomselection(Ingredient!$B$2:$B$18),IF(B164="vegetable",randomselection(Ingredient!$D$2:$D$18),randomselection(Ingredient!$E$2:$E$18))))))</f>
        <v>eggplants</v>
      </c>
      <c r="D164" t="str">
        <f>VLOOKUP(IngredientGenerator!C164,Ingredient!$A$21:$F$111,2,FALSE)</f>
        <v>can</v>
      </c>
      <c r="E164" t="s">
        <v>114</v>
      </c>
      <c r="F164" t="str">
        <f t="shared" si="2"/>
        <v>eggplants is a very nice food and beverage category that is categorized under fusion cuisine</v>
      </c>
      <c r="G164">
        <f>VLOOKUP(IngredientGenerator!C164,Ingredient!$A$21:$F$111,6,FALSE)</f>
        <v>5.8</v>
      </c>
    </row>
    <row r="165" spans="1:7" x14ac:dyDescent="0.25">
      <c r="A165">
        <v>49</v>
      </c>
      <c r="B165" t="s">
        <v>114</v>
      </c>
      <c r="C165" t="str">
        <f>IF(B165="western",randomselection(Ingredient!$A$2:$A$18),IF(B165="asian",randomselection(Ingredient!$B$2:$B$18),IF(B165="fusion",randomselection(Ingredient!$C$2:$C$18),IF(B165="asian",randomselection(Ingredient!$B$2:$B$18),IF(B165="vegetable",randomselection(Ingredient!$D$2:$D$18),randomselection(Ingredient!$E$2:$E$18))))))</f>
        <v>red pepper flakes</v>
      </c>
      <c r="D165" t="str">
        <f>VLOOKUP(IngredientGenerator!C165,Ingredient!$A$21:$F$111,2,FALSE)</f>
        <v>package</v>
      </c>
      <c r="E165" t="s">
        <v>114</v>
      </c>
      <c r="F165" t="str">
        <f t="shared" si="2"/>
        <v>red pepper flakes is a very nice food and beverage category that is categorized under fusion cuisine</v>
      </c>
      <c r="G165">
        <f>VLOOKUP(IngredientGenerator!C165,Ingredient!$A$21:$F$111,6,FALSE)</f>
        <v>2</v>
      </c>
    </row>
    <row r="166" spans="1:7" x14ac:dyDescent="0.25">
      <c r="A166">
        <v>50</v>
      </c>
      <c r="B166" t="s">
        <v>114</v>
      </c>
      <c r="C166" t="str">
        <f>IF(B166="western",randomselection(Ingredient!$A$2:$A$18),IF(B166="asian",randomselection(Ingredient!$B$2:$B$18),IF(B166="fusion",randomselection(Ingredient!$C$2:$C$18),IF(B166="asian",randomselection(Ingredient!$B$2:$B$18),IF(B166="vegetable",randomselection(Ingredient!$D$2:$D$18),randomselection(Ingredient!$E$2:$E$18))))))</f>
        <v>red pepper flakes</v>
      </c>
      <c r="D166" t="str">
        <f>VLOOKUP(IngredientGenerator!C166,Ingredient!$A$21:$F$111,2,FALSE)</f>
        <v>package</v>
      </c>
      <c r="E166" t="s">
        <v>114</v>
      </c>
      <c r="F166" t="str">
        <f t="shared" si="2"/>
        <v>red pepper flakes is a very nice food and beverage category that is categorized under fusion cuisine</v>
      </c>
      <c r="G166">
        <f>VLOOKUP(IngredientGenerator!C166,Ingredient!$A$21:$F$111,6,FALSE)</f>
        <v>2</v>
      </c>
    </row>
    <row r="167" spans="1:7" x14ac:dyDescent="0.25">
      <c r="A167">
        <v>51</v>
      </c>
      <c r="B167" t="s">
        <v>114</v>
      </c>
      <c r="C167" t="str">
        <f>IF(B167="western",randomselection(Ingredient!$A$2:$A$18),IF(B167="asian",randomselection(Ingredient!$B$2:$B$18),IF(B167="fusion",randomselection(Ingredient!$C$2:$C$18),IF(B167="asian",randomselection(Ingredient!$B$2:$B$18),IF(B167="vegetable",randomselection(Ingredient!$D$2:$D$18),randomselection(Ingredient!$E$2:$E$18))))))</f>
        <v>eggplants</v>
      </c>
      <c r="D167" t="str">
        <f>VLOOKUP(IngredientGenerator!C167,Ingredient!$A$21:$F$111,2,FALSE)</f>
        <v>can</v>
      </c>
      <c r="E167" t="s">
        <v>114</v>
      </c>
      <c r="F167" t="str">
        <f t="shared" si="2"/>
        <v>eggplants is a very nice food and beverage category that is categorized under fusion cuisine</v>
      </c>
      <c r="G167">
        <f>VLOOKUP(IngredientGenerator!C167,Ingredient!$A$21:$F$111,6,FALSE)</f>
        <v>5.8</v>
      </c>
    </row>
    <row r="168" spans="1:7" x14ac:dyDescent="0.25">
      <c r="A168">
        <v>52</v>
      </c>
      <c r="B168" t="s">
        <v>114</v>
      </c>
      <c r="C168" t="str">
        <f>IF(B168="western",randomselection(Ingredient!$A$2:$A$18),IF(B168="asian",randomselection(Ingredient!$B$2:$B$18),IF(B168="fusion",randomselection(Ingredient!$C$2:$C$18),IF(B168="asian",randomselection(Ingredient!$B$2:$B$18),IF(B168="vegetable",randomselection(Ingredient!$D$2:$D$18),randomselection(Ingredient!$E$2:$E$18))))))</f>
        <v>cream cheese</v>
      </c>
      <c r="D168" t="str">
        <f>VLOOKUP(IngredientGenerator!C168,Ingredient!$A$21:$F$111,2,FALSE)</f>
        <v>package</v>
      </c>
      <c r="E168" t="s">
        <v>114</v>
      </c>
      <c r="F168" t="str">
        <f t="shared" si="2"/>
        <v>cream cheese is a very nice food and beverage category that is categorized under fusion cuisine</v>
      </c>
      <c r="G168">
        <f>VLOOKUP(IngredientGenerator!C168,Ingredient!$A$21:$F$111,6,FALSE)</f>
        <v>2.2000000000000002</v>
      </c>
    </row>
    <row r="169" spans="1:7" x14ac:dyDescent="0.25">
      <c r="A169">
        <v>53</v>
      </c>
      <c r="B169" t="s">
        <v>113</v>
      </c>
      <c r="C169" t="str">
        <f>IF(B169="western",randomselection(Ingredient!$A$2:$A$18),IF(B169="asian",randomselection(Ingredient!$B$2:$B$18),IF(B169="fusion",randomselection(Ingredient!$C$2:$C$18),IF(B169="asian",randomselection(Ingredient!$B$2:$B$18),IF(B169="vegetable",randomselection(Ingredient!$D$2:$D$18),randomselection(Ingredient!$E$2:$E$18))))))</f>
        <v>borscht</v>
      </c>
      <c r="D169" t="str">
        <f>VLOOKUP(IngredientGenerator!C169,Ingredient!$A$21:$F$111,2,FALSE)</f>
        <v>bottle</v>
      </c>
      <c r="E169" t="s">
        <v>113</v>
      </c>
      <c r="F169" t="str">
        <f t="shared" si="2"/>
        <v>borscht is a very nice food and beverage category that is categorized under asian cuisine</v>
      </c>
      <c r="G169">
        <f>VLOOKUP(IngredientGenerator!C169,Ingredient!$A$21:$F$111,6,FALSE)</f>
        <v>5.4</v>
      </c>
    </row>
    <row r="170" spans="1:7" x14ac:dyDescent="0.25">
      <c r="A170">
        <v>54</v>
      </c>
      <c r="B170" t="s">
        <v>114</v>
      </c>
      <c r="C170" t="str">
        <f>IF(B170="western",randomselection(Ingredient!$A$2:$A$18),IF(B170="asian",randomselection(Ingredient!$B$2:$B$18),IF(B170="fusion",randomselection(Ingredient!$C$2:$C$18),IF(B170="asian",randomselection(Ingredient!$B$2:$B$18),IF(B170="vegetable",randomselection(Ingredient!$D$2:$D$18),randomselection(Ingredient!$E$2:$E$18))))))</f>
        <v>spearmint</v>
      </c>
      <c r="D170" t="str">
        <f>VLOOKUP(IngredientGenerator!C170,Ingredient!$A$21:$F$111,2,FALSE)</f>
        <v>package</v>
      </c>
      <c r="E170" t="s">
        <v>114</v>
      </c>
      <c r="F170" t="str">
        <f t="shared" si="2"/>
        <v>spearmint is a very nice food and beverage category that is categorized under fusion cuisine</v>
      </c>
      <c r="G170">
        <f>VLOOKUP(IngredientGenerator!C170,Ingredient!$A$21:$F$111,6,FALSE)</f>
        <v>4</v>
      </c>
    </row>
    <row r="171" spans="1:7" x14ac:dyDescent="0.25">
      <c r="A171">
        <v>55</v>
      </c>
      <c r="B171" t="s">
        <v>112</v>
      </c>
      <c r="C171" t="str">
        <f>IF(B171="western",randomselection(Ingredient!$A$2:$A$18),IF(B171="asian",randomselection(Ingredient!$B$2:$B$18),IF(B171="fusion",randomselection(Ingredient!$C$2:$C$18),IF(B171="asian",randomselection(Ingredient!$B$2:$B$18),IF(B171="vegetable",randomselection(Ingredient!$D$2:$D$18),randomselection(Ingredient!$E$2:$E$18))))))</f>
        <v>canola oil</v>
      </c>
      <c r="D171" t="str">
        <f>VLOOKUP(IngredientGenerator!C171,Ingredient!$A$21:$F$111,2,FALSE)</f>
        <v>can</v>
      </c>
      <c r="E171" t="s">
        <v>112</v>
      </c>
      <c r="F171" t="str">
        <f t="shared" si="2"/>
        <v>canola oil is a very nice food and beverage category that is categorized under western cuisine</v>
      </c>
      <c r="G171">
        <f>VLOOKUP(IngredientGenerator!C171,Ingredient!$A$21:$F$111,6,FALSE)</f>
        <v>5.3</v>
      </c>
    </row>
    <row r="172" spans="1:7" x14ac:dyDescent="0.25">
      <c r="A172">
        <v>56</v>
      </c>
      <c r="B172" t="s">
        <v>112</v>
      </c>
      <c r="C172" t="str">
        <f>IF(B172="western",randomselection(Ingredient!$A$2:$A$18),IF(B172="asian",randomselection(Ingredient!$B$2:$B$18),IF(B172="fusion",randomselection(Ingredient!$C$2:$C$18),IF(B172="asian",randomselection(Ingredient!$B$2:$B$18),IF(B172="vegetable",randomselection(Ingredient!$D$2:$D$18),randomselection(Ingredient!$E$2:$E$18))))))</f>
        <v>poppy seeds</v>
      </c>
      <c r="D172" t="str">
        <f>VLOOKUP(IngredientGenerator!C172,Ingredient!$A$21:$F$111,2,FALSE)</f>
        <v>can</v>
      </c>
      <c r="E172" t="s">
        <v>112</v>
      </c>
      <c r="F172" t="str">
        <f t="shared" si="2"/>
        <v>poppy seeds is a very nice food and beverage category that is categorized under western cuisine</v>
      </c>
      <c r="G172">
        <f>VLOOKUP(IngredientGenerator!C172,Ingredient!$A$21:$F$111,6,FALSE)</f>
        <v>3.7</v>
      </c>
    </row>
    <row r="173" spans="1:7" x14ac:dyDescent="0.25">
      <c r="A173">
        <v>57</v>
      </c>
      <c r="B173" t="s">
        <v>116</v>
      </c>
      <c r="C173" t="str">
        <f>IF(B173="western",randomselection(Ingredient!$A$2:$A$18),IF(B173="asian",randomselection(Ingredient!$B$2:$B$18),IF(B173="fusion",randomselection(Ingredient!$C$2:$C$18),IF(B173="asian",randomselection(Ingredient!$B$2:$B$18),IF(B173="vegetable",randomselection(Ingredient!$D$2:$D$18),randomselection(Ingredient!$E$2:$E$18))))))</f>
        <v>cayenne pepper</v>
      </c>
      <c r="D173" t="str">
        <f>VLOOKUP(IngredientGenerator!C173,Ingredient!$A$21:$F$111,2,FALSE)</f>
        <v>can</v>
      </c>
      <c r="E173" t="s">
        <v>116</v>
      </c>
      <c r="F173" t="str">
        <f t="shared" si="2"/>
        <v>cayenne pepper is a very nice food and beverage category that is categorized under beverage cuisine</v>
      </c>
      <c r="G173">
        <f>VLOOKUP(IngredientGenerator!C173,Ingredient!$A$21:$F$111,6,FALSE)</f>
        <v>3.1</v>
      </c>
    </row>
    <row r="174" spans="1:7" x14ac:dyDescent="0.25">
      <c r="A174">
        <v>58</v>
      </c>
      <c r="B174" t="s">
        <v>112</v>
      </c>
      <c r="C174" t="str">
        <f>IF(B174="western",randomselection(Ingredient!$A$2:$A$18),IF(B174="asian",randomselection(Ingredient!$B$2:$B$18),IF(B174="fusion",randomselection(Ingredient!$C$2:$C$18),IF(B174="asian",randomselection(Ingredient!$B$2:$B$18),IF(B174="vegetable",randomselection(Ingredient!$D$2:$D$18),randomselection(Ingredient!$E$2:$E$18))))))</f>
        <v>bean threads</v>
      </c>
      <c r="D174" t="str">
        <f>VLOOKUP(IngredientGenerator!C174,Ingredient!$A$21:$F$111,2,FALSE)</f>
        <v>can</v>
      </c>
      <c r="E174" t="s">
        <v>112</v>
      </c>
      <c r="F174" t="str">
        <f t="shared" si="2"/>
        <v>bean threads is a very nice food and beverage category that is categorized under western cuisine</v>
      </c>
      <c r="G174">
        <f>VLOOKUP(IngredientGenerator!C174,Ingredient!$A$21:$F$111,6,FALSE)</f>
        <v>4.8</v>
      </c>
    </row>
    <row r="175" spans="1:7" x14ac:dyDescent="0.25">
      <c r="A175">
        <v>59</v>
      </c>
      <c r="B175" t="s">
        <v>112</v>
      </c>
      <c r="C175" t="str">
        <f>IF(B175="western",randomselection(Ingredient!$A$2:$A$18),IF(B175="asian",randomselection(Ingredient!$B$2:$B$18),IF(B175="fusion",randomselection(Ingredient!$C$2:$C$18),IF(B175="asian",randomselection(Ingredient!$B$2:$B$18),IF(B175="vegetable",randomselection(Ingredient!$D$2:$D$18),randomselection(Ingredient!$E$2:$E$18))))))</f>
        <v>steak</v>
      </c>
      <c r="D175" t="str">
        <f>VLOOKUP(IngredientGenerator!C175,Ingredient!$A$21:$F$111,2,FALSE)</f>
        <v>piece</v>
      </c>
      <c r="E175" t="s">
        <v>112</v>
      </c>
      <c r="F175" t="str">
        <f t="shared" si="2"/>
        <v>steak is a very nice food and beverage category that is categorized under western cuisine</v>
      </c>
      <c r="G175">
        <f>VLOOKUP(IngredientGenerator!C175,Ingredient!$A$21:$F$111,6,FALSE)</f>
        <v>4.5</v>
      </c>
    </row>
    <row r="176" spans="1:7" x14ac:dyDescent="0.25">
      <c r="A176">
        <v>60</v>
      </c>
      <c r="B176" t="s">
        <v>113</v>
      </c>
      <c r="C176" t="str">
        <f>IF(B176="western",randomselection(Ingredient!$A$2:$A$18),IF(B176="asian",randomselection(Ingredient!$B$2:$B$18),IF(B176="fusion",randomselection(Ingredient!$C$2:$C$18),IF(B176="asian",randomselection(Ingredient!$B$2:$B$18),IF(B176="vegetable",randomselection(Ingredient!$D$2:$D$18),randomselection(Ingredient!$E$2:$E$18))))))</f>
        <v>cornmeal</v>
      </c>
      <c r="D176" t="str">
        <f>VLOOKUP(IngredientGenerator!C176,Ingredient!$A$21:$F$111,2,FALSE)</f>
        <v>can</v>
      </c>
      <c r="E176" t="s">
        <v>113</v>
      </c>
      <c r="F176" t="str">
        <f t="shared" si="2"/>
        <v>cornmeal is a very nice food and beverage category that is categorized under asian cuisine</v>
      </c>
      <c r="G176">
        <f>VLOOKUP(IngredientGenerator!C176,Ingredient!$A$21:$F$111,6,FALSE)</f>
        <v>2.1</v>
      </c>
    </row>
    <row r="177" spans="1:7" x14ac:dyDescent="0.25">
      <c r="A177">
        <v>61</v>
      </c>
      <c r="B177" t="s">
        <v>113</v>
      </c>
      <c r="C177" t="str">
        <f>IF(B177="western",randomselection(Ingredient!$A$2:$A$18),IF(B177="asian",randomselection(Ingredient!$B$2:$B$18),IF(B177="fusion",randomselection(Ingredient!$C$2:$C$18),IF(B177="asian",randomselection(Ingredient!$B$2:$B$18),IF(B177="vegetable",randomselection(Ingredient!$D$2:$D$18),randomselection(Ingredient!$E$2:$E$18))))))</f>
        <v>cornmeal</v>
      </c>
      <c r="D177" t="str">
        <f>VLOOKUP(IngredientGenerator!C177,Ingredient!$A$21:$F$111,2,FALSE)</f>
        <v>can</v>
      </c>
      <c r="E177" t="s">
        <v>113</v>
      </c>
      <c r="F177" t="str">
        <f t="shared" si="2"/>
        <v>cornmeal is a very nice food and beverage category that is categorized under asian cuisine</v>
      </c>
      <c r="G177">
        <f>VLOOKUP(IngredientGenerator!C177,Ingredient!$A$21:$F$111,6,FALSE)</f>
        <v>2.1</v>
      </c>
    </row>
    <row r="178" spans="1:7" x14ac:dyDescent="0.25">
      <c r="A178">
        <v>62</v>
      </c>
      <c r="B178" t="s">
        <v>112</v>
      </c>
      <c r="C178" t="str">
        <f>IF(B178="western",randomselection(Ingredient!$A$2:$A$18),IF(B178="asian",randomselection(Ingredient!$B$2:$B$18),IF(B178="fusion",randomselection(Ingredient!$C$2:$C$18),IF(B178="asian",randomselection(Ingredient!$B$2:$B$18),IF(B178="vegetable",randomselection(Ingredient!$D$2:$D$18),randomselection(Ingredient!$E$2:$E$18))))))</f>
        <v>acorn squash</v>
      </c>
      <c r="D178" t="str">
        <f>VLOOKUP(IngredientGenerator!C178,Ingredient!$A$21:$F$111,2,FALSE)</f>
        <v>package</v>
      </c>
      <c r="E178" t="s">
        <v>112</v>
      </c>
      <c r="F178" t="str">
        <f t="shared" si="2"/>
        <v>acorn squash is a very nice food and beverage category that is categorized under western cuisine</v>
      </c>
      <c r="G178">
        <f>VLOOKUP(IngredientGenerator!C178,Ingredient!$A$21:$F$111,6,FALSE)</f>
        <v>2.9</v>
      </c>
    </row>
    <row r="179" spans="1:7" x14ac:dyDescent="0.25">
      <c r="A179">
        <v>63</v>
      </c>
      <c r="B179" t="s">
        <v>116</v>
      </c>
      <c r="C179" t="str">
        <f>IF(B179="western",randomselection(Ingredient!$A$2:$A$18),IF(B179="asian",randomselection(Ingredient!$B$2:$B$18),IF(B179="fusion",randomselection(Ingredient!$C$2:$C$18),IF(B179="asian",randomselection(Ingredient!$B$2:$B$18),IF(B179="vegetable",randomselection(Ingredient!$D$2:$D$18),randomselection(Ingredient!$E$2:$E$18))))))</f>
        <v>Marsala</v>
      </c>
      <c r="D179" t="str">
        <f>VLOOKUP(IngredientGenerator!C179,Ingredient!$A$21:$F$111,2,FALSE)</f>
        <v>can</v>
      </c>
      <c r="E179" t="s">
        <v>116</v>
      </c>
      <c r="F179" t="str">
        <f t="shared" si="2"/>
        <v>Marsala is a very nice food and beverage category that is categorized under beverage cuisine</v>
      </c>
      <c r="G179">
        <f>VLOOKUP(IngredientGenerator!C179,Ingredient!$A$21:$F$111,6,FALSE)</f>
        <v>5.0999999999999996</v>
      </c>
    </row>
    <row r="180" spans="1:7" x14ac:dyDescent="0.25">
      <c r="A180">
        <v>64</v>
      </c>
      <c r="B180" t="s">
        <v>112</v>
      </c>
      <c r="C180" t="str">
        <f>IF(B180="western",randomselection(Ingredient!$A$2:$A$18),IF(B180="asian",randomselection(Ingredient!$B$2:$B$18),IF(B180="fusion",randomselection(Ingredient!$C$2:$C$18),IF(B180="asian",randomselection(Ingredient!$B$2:$B$18),IF(B180="vegetable",randomselection(Ingredient!$D$2:$D$18),randomselection(Ingredient!$E$2:$E$18))))))</f>
        <v>hash browns</v>
      </c>
      <c r="D180" t="str">
        <f>VLOOKUP(IngredientGenerator!C180,Ingredient!$A$21:$F$111,2,FALSE)</f>
        <v>package</v>
      </c>
      <c r="E180" t="s">
        <v>112</v>
      </c>
      <c r="F180" t="str">
        <f t="shared" si="2"/>
        <v>hash browns is a very nice food and beverage category that is categorized under western cuisine</v>
      </c>
      <c r="G180">
        <f>VLOOKUP(IngredientGenerator!C180,Ingredient!$A$21:$F$111,6,FALSE)</f>
        <v>4.5999999999999996</v>
      </c>
    </row>
    <row r="181" spans="1:7" x14ac:dyDescent="0.25">
      <c r="A181">
        <v>65</v>
      </c>
      <c r="B181" t="s">
        <v>112</v>
      </c>
      <c r="C181" t="str">
        <f>IF(B181="western",randomselection(Ingredient!$A$2:$A$18),IF(B181="asian",randomselection(Ingredient!$B$2:$B$18),IF(B181="fusion",randomselection(Ingredient!$C$2:$C$18),IF(B181="asian",randomselection(Ingredient!$B$2:$B$18),IF(B181="vegetable",randomselection(Ingredient!$D$2:$D$18),randomselection(Ingredient!$E$2:$E$18))))))</f>
        <v>poppy seeds</v>
      </c>
      <c r="D181" t="str">
        <f>VLOOKUP(IngredientGenerator!C181,Ingredient!$A$21:$F$111,2,FALSE)</f>
        <v>can</v>
      </c>
      <c r="E181" t="s">
        <v>112</v>
      </c>
      <c r="F181" t="str">
        <f t="shared" si="2"/>
        <v>poppy seeds is a very nice food and beverage category that is categorized under western cuisine</v>
      </c>
      <c r="G181">
        <f>VLOOKUP(IngredientGenerator!C181,Ingredient!$A$21:$F$111,6,FALSE)</f>
        <v>3.7</v>
      </c>
    </row>
    <row r="182" spans="1:7" x14ac:dyDescent="0.25">
      <c r="A182">
        <v>6</v>
      </c>
      <c r="B182" t="s">
        <v>112</v>
      </c>
      <c r="C182" t="str">
        <f>IF(B182="western",randomselection(Ingredient!$A$2:$A$18),IF(B182="asian",randomselection(Ingredient!$B$2:$B$18),IF(B182="fusion",randomselection(Ingredient!$C$2:$C$18),IF(B182="asian",randomselection(Ingredient!$B$2:$B$18),IF(B182="vegetable",randomselection(Ingredient!$D$2:$D$18),randomselection(Ingredient!$E$2:$E$18))))))</f>
        <v>cream of tartar</v>
      </c>
      <c r="D182" t="str">
        <f>VLOOKUP(IngredientGenerator!C182,Ingredient!$A$21:$F$111,2,FALSE)</f>
        <v>can</v>
      </c>
      <c r="E182" t="s">
        <v>112</v>
      </c>
      <c r="F182" t="str">
        <f t="shared" si="2"/>
        <v>cream of tartar is a very nice food and beverage category that is categorized under western cuisine</v>
      </c>
      <c r="G182">
        <f>VLOOKUP(IngredientGenerator!C182,Ingredient!$A$21:$F$111,6,FALSE)</f>
        <v>2.2000000000000002</v>
      </c>
    </row>
    <row r="183" spans="1:7" x14ac:dyDescent="0.25">
      <c r="A183">
        <v>7</v>
      </c>
      <c r="B183" t="s">
        <v>113</v>
      </c>
      <c r="C183" t="str">
        <f>IF(B183="western",randomselection(Ingredient!$A$2:$A$18),IF(B183="asian",randomselection(Ingredient!$B$2:$B$18),IF(B183="fusion",randomselection(Ingredient!$C$2:$C$18),IF(B183="asian",randomselection(Ingredient!$B$2:$B$18),IF(B183="vegetable",randomselection(Ingredient!$D$2:$D$18),randomselection(Ingredient!$E$2:$E$18))))))</f>
        <v>borscht</v>
      </c>
      <c r="D183" t="str">
        <f>VLOOKUP(IngredientGenerator!C183,Ingredient!$A$21:$F$111,2,FALSE)</f>
        <v>bottle</v>
      </c>
      <c r="E183" t="s">
        <v>113</v>
      </c>
      <c r="F183" t="str">
        <f t="shared" si="2"/>
        <v>borscht is a very nice food and beverage category that is categorized under asian cuisine</v>
      </c>
      <c r="G183">
        <f>VLOOKUP(IngredientGenerator!C183,Ingredient!$A$21:$F$111,6,FALSE)</f>
        <v>5.4</v>
      </c>
    </row>
    <row r="184" spans="1:7" x14ac:dyDescent="0.25">
      <c r="A184">
        <v>8</v>
      </c>
      <c r="B184" t="s">
        <v>114</v>
      </c>
      <c r="C184" t="str">
        <f>IF(B184="western",randomselection(Ingredient!$A$2:$A$18),IF(B184="asian",randomselection(Ingredient!$B$2:$B$18),IF(B184="fusion",randomselection(Ingredient!$C$2:$C$18),IF(B184="asian",randomselection(Ingredient!$B$2:$B$18),IF(B184="vegetable",randomselection(Ingredient!$D$2:$D$18),randomselection(Ingredient!$E$2:$E$18))))))</f>
        <v>cottage cheese</v>
      </c>
      <c r="D184" t="str">
        <f>VLOOKUP(IngredientGenerator!C184,Ingredient!$A$21:$F$111,2,FALSE)</f>
        <v>package</v>
      </c>
      <c r="E184" t="s">
        <v>114</v>
      </c>
      <c r="F184" t="str">
        <f t="shared" si="2"/>
        <v>cottage cheese is a very nice food and beverage category that is categorized under fusion cuisine</v>
      </c>
      <c r="G184">
        <f>VLOOKUP(IngredientGenerator!C184,Ingredient!$A$21:$F$111,6,FALSE)</f>
        <v>3.1</v>
      </c>
    </row>
    <row r="185" spans="1:7" x14ac:dyDescent="0.25">
      <c r="A185">
        <v>9</v>
      </c>
      <c r="B185" t="s">
        <v>114</v>
      </c>
      <c r="C185" t="str">
        <f>IF(B185="western",randomselection(Ingredient!$A$2:$A$18),IF(B185="asian",randomselection(Ingredient!$B$2:$B$18),IF(B185="fusion",randomselection(Ingredient!$C$2:$C$18),IF(B185="asian",randomselection(Ingredient!$B$2:$B$18),IF(B185="vegetable",randomselection(Ingredient!$D$2:$D$18),randomselection(Ingredient!$E$2:$E$18))))))</f>
        <v>cottage cheese</v>
      </c>
      <c r="D185" t="str">
        <f>VLOOKUP(IngredientGenerator!C185,Ingredient!$A$21:$F$111,2,FALSE)</f>
        <v>package</v>
      </c>
      <c r="E185" t="s">
        <v>114</v>
      </c>
      <c r="F185" t="str">
        <f t="shared" si="2"/>
        <v>cottage cheese is a very nice food and beverage category that is categorized under fusion cuisine</v>
      </c>
      <c r="G185">
        <f>VLOOKUP(IngredientGenerator!C185,Ingredient!$A$21:$F$111,6,FALSE)</f>
        <v>3.1</v>
      </c>
    </row>
    <row r="186" spans="1:7" x14ac:dyDescent="0.25">
      <c r="A186">
        <v>10</v>
      </c>
      <c r="B186" t="s">
        <v>115</v>
      </c>
      <c r="C186" t="str">
        <f>IF(B186="western",randomselection(Ingredient!$A$2:$A$18),IF(B186="asian",randomselection(Ingredient!$B$2:$B$18),IF(B186="fusion",randomselection(Ingredient!$C$2:$C$18),IF(B186="asian",randomselection(Ingredient!$B$2:$B$18),IF(B186="vegetable",randomselection(Ingredient!$D$2:$D$18),randomselection(Ingredient!$E$2:$E$18))))))</f>
        <v>beets</v>
      </c>
      <c r="D186" t="str">
        <f>VLOOKUP(IngredientGenerator!C186,Ingredient!$A$21:$F$111,2,FALSE)</f>
        <v>can</v>
      </c>
      <c r="E186" t="s">
        <v>115</v>
      </c>
      <c r="F186" t="str">
        <f t="shared" si="2"/>
        <v>beets is a very nice food and beverage category that is categorized under vegetable cuisine</v>
      </c>
      <c r="G186">
        <f>VLOOKUP(IngredientGenerator!C186,Ingredient!$A$21:$F$111,6,FALSE)</f>
        <v>3.2</v>
      </c>
    </row>
    <row r="187" spans="1:7" x14ac:dyDescent="0.25">
      <c r="A187">
        <v>11</v>
      </c>
      <c r="B187" t="s">
        <v>116</v>
      </c>
      <c r="C187" t="str">
        <f>IF(B187="western",randomselection(Ingredient!$A$2:$A$18),IF(B187="asian",randomselection(Ingredient!$B$2:$B$18),IF(B187="fusion",randomselection(Ingredient!$C$2:$C$18),IF(B187="asian",randomselection(Ingredient!$B$2:$B$18),IF(B187="vegetable",randomselection(Ingredient!$D$2:$D$18),randomselection(Ingredient!$E$2:$E$18))))))</f>
        <v>bay leaves</v>
      </c>
      <c r="D187" t="str">
        <f>VLOOKUP(IngredientGenerator!C187,Ingredient!$A$21:$F$111,2,FALSE)</f>
        <v>can</v>
      </c>
      <c r="E187" t="s">
        <v>116</v>
      </c>
      <c r="F187" t="str">
        <f t="shared" si="2"/>
        <v>bay leaves is a very nice food and beverage category that is categorized under beverage cuisine</v>
      </c>
      <c r="G187">
        <f>VLOOKUP(IngredientGenerator!C187,Ingredient!$A$21:$F$111,6,FALSE)</f>
        <v>2</v>
      </c>
    </row>
    <row r="188" spans="1:7" x14ac:dyDescent="0.25">
      <c r="A188">
        <v>12</v>
      </c>
      <c r="B188" t="s">
        <v>116</v>
      </c>
      <c r="C188" t="str">
        <f>IF(B188="western",randomselection(Ingredient!$A$2:$A$18),IF(B188="asian",randomselection(Ingredient!$B$2:$B$18),IF(B188="fusion",randomselection(Ingredient!$C$2:$C$18),IF(B188="asian",randomselection(Ingredient!$B$2:$B$18),IF(B188="vegetable",randomselection(Ingredient!$D$2:$D$18),randomselection(Ingredient!$E$2:$E$18))))))</f>
        <v>Marsala</v>
      </c>
      <c r="D188" t="str">
        <f>VLOOKUP(IngredientGenerator!C188,Ingredient!$A$21:$F$111,2,FALSE)</f>
        <v>can</v>
      </c>
      <c r="E188" t="s">
        <v>116</v>
      </c>
      <c r="F188" t="str">
        <f t="shared" si="2"/>
        <v>Marsala is a very nice food and beverage category that is categorized under beverage cuisine</v>
      </c>
      <c r="G188">
        <f>VLOOKUP(IngredientGenerator!C188,Ingredient!$A$21:$F$111,6,FALSE)</f>
        <v>5.0999999999999996</v>
      </c>
    </row>
    <row r="189" spans="1:7" x14ac:dyDescent="0.25">
      <c r="A189">
        <v>13</v>
      </c>
      <c r="B189" t="s">
        <v>116</v>
      </c>
      <c r="C189" t="str">
        <f>IF(B189="western",randomselection(Ingredient!$A$2:$A$18),IF(B189="asian",randomselection(Ingredient!$B$2:$B$18),IF(B189="fusion",randomselection(Ingredient!$C$2:$C$18),IF(B189="asian",randomselection(Ingredient!$B$2:$B$18),IF(B189="vegetable",randomselection(Ingredient!$D$2:$D$18),randomselection(Ingredient!$E$2:$E$18))))))</f>
        <v>cooking wine</v>
      </c>
      <c r="D189" t="str">
        <f>VLOOKUP(IngredientGenerator!C189,Ingredient!$A$21:$F$111,2,FALSE)</f>
        <v>can</v>
      </c>
      <c r="E189" t="s">
        <v>116</v>
      </c>
      <c r="F189" t="str">
        <f t="shared" si="2"/>
        <v>cooking wine is a very nice food and beverage category that is categorized under beverage cuisine</v>
      </c>
      <c r="G189">
        <f>VLOOKUP(IngredientGenerator!C189,Ingredient!$A$21:$F$111,6,FALSE)</f>
        <v>2.4</v>
      </c>
    </row>
    <row r="190" spans="1:7" x14ac:dyDescent="0.25">
      <c r="A190">
        <v>14</v>
      </c>
      <c r="B190" t="s">
        <v>113</v>
      </c>
      <c r="C190" t="str">
        <f>IF(B190="western",randomselection(Ingredient!$A$2:$A$18),IF(B190="asian",randomselection(Ingredient!$B$2:$B$18),IF(B190="fusion",randomselection(Ingredient!$C$2:$C$18),IF(B190="asian",randomselection(Ingredient!$B$2:$B$18),IF(B190="vegetable",randomselection(Ingredient!$D$2:$D$18),randomselection(Ingredient!$E$2:$E$18))))))</f>
        <v>gelatin</v>
      </c>
      <c r="D190" t="str">
        <f>VLOOKUP(IngredientGenerator!C190,Ingredient!$A$21:$F$111,2,FALSE)</f>
        <v>can</v>
      </c>
      <c r="E190" t="s">
        <v>113</v>
      </c>
      <c r="F190" t="str">
        <f t="shared" si="2"/>
        <v>gelatin is a very nice food and beverage category that is categorized under asian cuisine</v>
      </c>
      <c r="G190">
        <f>VLOOKUP(IngredientGenerator!C190,Ingredient!$A$21:$F$111,6,FALSE)</f>
        <v>2</v>
      </c>
    </row>
    <row r="191" spans="1:7" x14ac:dyDescent="0.25">
      <c r="A191">
        <v>15</v>
      </c>
      <c r="B191" t="s">
        <v>116</v>
      </c>
      <c r="C191" t="str">
        <f>IF(B191="western",randomselection(Ingredient!$A$2:$A$18),IF(B191="asian",randomselection(Ingredient!$B$2:$B$18),IF(B191="fusion",randomselection(Ingredient!$C$2:$C$18),IF(B191="asian",randomselection(Ingredient!$B$2:$B$18),IF(B191="vegetable",randomselection(Ingredient!$D$2:$D$18),randomselection(Ingredient!$E$2:$E$18))))))</f>
        <v>fennel</v>
      </c>
      <c r="D191" t="str">
        <f>VLOOKUP(IngredientGenerator!C191,Ingredient!$A$21:$F$111,2,FALSE)</f>
        <v>can</v>
      </c>
      <c r="E191" t="s">
        <v>116</v>
      </c>
      <c r="F191" t="str">
        <f t="shared" si="2"/>
        <v>fennel is a very nice food and beverage category that is categorized under beverage cuisine</v>
      </c>
      <c r="G191">
        <f>VLOOKUP(IngredientGenerator!C191,Ingredient!$A$21:$F$111,6,FALSE)</f>
        <v>4</v>
      </c>
    </row>
    <row r="192" spans="1:7" x14ac:dyDescent="0.25">
      <c r="A192">
        <v>16</v>
      </c>
      <c r="B192" t="s">
        <v>114</v>
      </c>
      <c r="C192" t="str">
        <f>IF(B192="western",randomselection(Ingredient!$A$2:$A$18),IF(B192="asian",randomselection(Ingredient!$B$2:$B$18),IF(B192="fusion",randomselection(Ingredient!$C$2:$C$18),IF(B192="asian",randomselection(Ingredient!$B$2:$B$18),IF(B192="vegetable",randomselection(Ingredient!$D$2:$D$18),randomselection(Ingredient!$E$2:$E$18))))))</f>
        <v>peaches</v>
      </c>
      <c r="D192" t="str">
        <f>VLOOKUP(IngredientGenerator!C192,Ingredient!$A$21:$F$111,2,FALSE)</f>
        <v>can</v>
      </c>
      <c r="E192" t="s">
        <v>114</v>
      </c>
      <c r="F192" t="str">
        <f t="shared" si="2"/>
        <v>peaches is a very nice food and beverage category that is categorized under fusion cuisine</v>
      </c>
      <c r="G192">
        <f>VLOOKUP(IngredientGenerator!C192,Ingredient!$A$21:$F$111,6,FALSE)</f>
        <v>2.2000000000000002</v>
      </c>
    </row>
    <row r="193" spans="1:7" x14ac:dyDescent="0.25">
      <c r="A193">
        <v>17</v>
      </c>
      <c r="B193" t="s">
        <v>113</v>
      </c>
      <c r="C193" t="str">
        <f>IF(B193="western",randomselection(Ingredient!$A$2:$A$18),IF(B193="asian",randomselection(Ingredient!$B$2:$B$18),IF(B193="fusion",randomselection(Ingredient!$C$2:$C$18),IF(B193="asian",randomselection(Ingredient!$B$2:$B$18),IF(B193="vegetable",randomselection(Ingredient!$D$2:$D$18),randomselection(Ingredient!$E$2:$E$18))))))</f>
        <v>cornmeal</v>
      </c>
      <c r="D193" t="str">
        <f>VLOOKUP(IngredientGenerator!C193,Ingredient!$A$21:$F$111,2,FALSE)</f>
        <v>can</v>
      </c>
      <c r="E193" t="s">
        <v>113</v>
      </c>
      <c r="F193" t="str">
        <f t="shared" si="2"/>
        <v>cornmeal is a very nice food and beverage category that is categorized under asian cuisine</v>
      </c>
      <c r="G193">
        <f>VLOOKUP(IngredientGenerator!C193,Ingredient!$A$21:$F$111,6,FALSE)</f>
        <v>2.1</v>
      </c>
    </row>
    <row r="194" spans="1:7" x14ac:dyDescent="0.25">
      <c r="A194">
        <v>18</v>
      </c>
      <c r="B194" t="s">
        <v>114</v>
      </c>
      <c r="C194" t="str">
        <f>IF(B194="western",randomselection(Ingredient!$A$2:$A$18),IF(B194="asian",randomselection(Ingredient!$B$2:$B$18),IF(B194="fusion",randomselection(Ingredient!$C$2:$C$18),IF(B194="asian",randomselection(Ingredient!$B$2:$B$18),IF(B194="vegetable",randomselection(Ingredient!$D$2:$D$18),randomselection(Ingredient!$E$2:$E$18))))))</f>
        <v>apples</v>
      </c>
      <c r="D194" t="str">
        <f>VLOOKUP(IngredientGenerator!C194,Ingredient!$A$21:$F$111,2,FALSE)</f>
        <v>package</v>
      </c>
      <c r="E194" t="s">
        <v>114</v>
      </c>
      <c r="F194" t="str">
        <f t="shared" ref="F194:F257" si="3">CONCATENATE(C194," is a very nice food and beverage category that is categorized under ",E194," cuisine")</f>
        <v>apples is a very nice food and beverage category that is categorized under fusion cuisine</v>
      </c>
      <c r="G194">
        <f>VLOOKUP(IngredientGenerator!C194,Ingredient!$A$21:$F$111,6,FALSE)</f>
        <v>2.5</v>
      </c>
    </row>
    <row r="195" spans="1:7" x14ac:dyDescent="0.25">
      <c r="A195">
        <v>19</v>
      </c>
      <c r="B195" t="s">
        <v>114</v>
      </c>
      <c r="C195" t="str">
        <f>IF(B195="western",randomselection(Ingredient!$A$2:$A$18),IF(B195="asian",randomselection(Ingredient!$B$2:$B$18),IF(B195="fusion",randomselection(Ingredient!$C$2:$C$18),IF(B195="asian",randomselection(Ingredient!$B$2:$B$18),IF(B195="vegetable",randomselection(Ingredient!$D$2:$D$18),randomselection(Ingredient!$E$2:$E$18))))))</f>
        <v>spearmint</v>
      </c>
      <c r="D195" t="str">
        <f>VLOOKUP(IngredientGenerator!C195,Ingredient!$A$21:$F$111,2,FALSE)</f>
        <v>package</v>
      </c>
      <c r="E195" t="s">
        <v>114</v>
      </c>
      <c r="F195" t="str">
        <f t="shared" si="3"/>
        <v>spearmint is a very nice food and beverage category that is categorized under fusion cuisine</v>
      </c>
      <c r="G195">
        <f>VLOOKUP(IngredientGenerator!C195,Ingredient!$A$21:$F$111,6,FALSE)</f>
        <v>4</v>
      </c>
    </row>
    <row r="196" spans="1:7" x14ac:dyDescent="0.25">
      <c r="A196">
        <v>20</v>
      </c>
      <c r="B196" t="s">
        <v>114</v>
      </c>
      <c r="C196" t="str">
        <f>IF(B196="western",randomselection(Ingredient!$A$2:$A$18),IF(B196="asian",randomselection(Ingredient!$B$2:$B$18),IF(B196="fusion",randomselection(Ingredient!$C$2:$C$18),IF(B196="asian",randomselection(Ingredient!$B$2:$B$18),IF(B196="vegetable",randomselection(Ingredient!$D$2:$D$18),randomselection(Ingredient!$E$2:$E$18))))))</f>
        <v>pumpkin seeds</v>
      </c>
      <c r="D196" t="str">
        <f>VLOOKUP(IngredientGenerator!C196,Ingredient!$A$21:$F$111,2,FALSE)</f>
        <v>package</v>
      </c>
      <c r="E196" t="s">
        <v>114</v>
      </c>
      <c r="F196" t="str">
        <f t="shared" si="3"/>
        <v>pumpkin seeds is a very nice food and beverage category that is categorized under fusion cuisine</v>
      </c>
      <c r="G196">
        <f>VLOOKUP(IngredientGenerator!C196,Ingredient!$A$21:$F$111,6,FALSE)</f>
        <v>3.4</v>
      </c>
    </row>
    <row r="197" spans="1:7" x14ac:dyDescent="0.25">
      <c r="A197">
        <v>21</v>
      </c>
      <c r="B197" t="s">
        <v>113</v>
      </c>
      <c r="C197" t="str">
        <f>IF(B197="western",randomselection(Ingredient!$A$2:$A$18),IF(B197="asian",randomselection(Ingredient!$B$2:$B$18),IF(B197="fusion",randomselection(Ingredient!$C$2:$C$18),IF(B197="asian",randomselection(Ingredient!$B$2:$B$18),IF(B197="vegetable",randomselection(Ingredient!$D$2:$D$18),randomselection(Ingredient!$E$2:$E$18))))))</f>
        <v>grouper</v>
      </c>
      <c r="D197" t="str">
        <f>VLOOKUP(IngredientGenerator!C197,Ingredient!$A$21:$F$111,2,FALSE)</f>
        <v>piece</v>
      </c>
      <c r="E197" t="s">
        <v>113</v>
      </c>
      <c r="F197" t="str">
        <f t="shared" si="3"/>
        <v>grouper is a very nice food and beverage category that is categorized under asian cuisine</v>
      </c>
      <c r="G197">
        <f>VLOOKUP(IngredientGenerator!C197,Ingredient!$A$21:$F$111,6,FALSE)</f>
        <v>5.2</v>
      </c>
    </row>
    <row r="198" spans="1:7" x14ac:dyDescent="0.25">
      <c r="A198">
        <v>22</v>
      </c>
      <c r="B198" t="s">
        <v>116</v>
      </c>
      <c r="C198" t="str">
        <f>IF(B198="western",randomselection(Ingredient!$A$2:$A$18),IF(B198="asian",randomselection(Ingredient!$B$2:$B$18),IF(B198="fusion",randomselection(Ingredient!$C$2:$C$18),IF(B198="asian",randomselection(Ingredient!$B$2:$B$18),IF(B198="vegetable",randomselection(Ingredient!$D$2:$D$18),randomselection(Ingredient!$E$2:$E$18))))))</f>
        <v>bay leaves</v>
      </c>
      <c r="D198" t="str">
        <f>VLOOKUP(IngredientGenerator!C198,Ingredient!$A$21:$F$111,2,FALSE)</f>
        <v>can</v>
      </c>
      <c r="E198" t="s">
        <v>116</v>
      </c>
      <c r="F198" t="str">
        <f t="shared" si="3"/>
        <v>bay leaves is a very nice food and beverage category that is categorized under beverage cuisine</v>
      </c>
      <c r="G198">
        <f>VLOOKUP(IngredientGenerator!C198,Ingredient!$A$21:$F$111,6,FALSE)</f>
        <v>2</v>
      </c>
    </row>
    <row r="199" spans="1:7" x14ac:dyDescent="0.25">
      <c r="A199">
        <v>23</v>
      </c>
      <c r="B199" t="s">
        <v>112</v>
      </c>
      <c r="C199" t="str">
        <f>IF(B199="western",randomselection(Ingredient!$A$2:$A$18),IF(B199="asian",randomselection(Ingredient!$B$2:$B$18),IF(B199="fusion",randomselection(Ingredient!$C$2:$C$18),IF(B199="asian",randomselection(Ingredient!$B$2:$B$18),IF(B199="vegetable",randomselection(Ingredient!$D$2:$D$18),randomselection(Ingredient!$E$2:$E$18))))))</f>
        <v>acorn squash</v>
      </c>
      <c r="D199" t="str">
        <f>VLOOKUP(IngredientGenerator!C199,Ingredient!$A$21:$F$111,2,FALSE)</f>
        <v>package</v>
      </c>
      <c r="E199" t="s">
        <v>112</v>
      </c>
      <c r="F199" t="str">
        <f t="shared" si="3"/>
        <v>acorn squash is a very nice food and beverage category that is categorized under western cuisine</v>
      </c>
      <c r="G199">
        <f>VLOOKUP(IngredientGenerator!C199,Ingredient!$A$21:$F$111,6,FALSE)</f>
        <v>2.9</v>
      </c>
    </row>
    <row r="200" spans="1:7" x14ac:dyDescent="0.25">
      <c r="A200">
        <v>24</v>
      </c>
      <c r="B200" t="s">
        <v>112</v>
      </c>
      <c r="C200" t="str">
        <f>IF(B200="western",randomselection(Ingredient!$A$2:$A$18),IF(B200="asian",randomselection(Ingredient!$B$2:$B$18),IF(B200="fusion",randomselection(Ingredient!$C$2:$C$18),IF(B200="asian",randomselection(Ingredient!$B$2:$B$18),IF(B200="vegetable",randomselection(Ingredient!$D$2:$D$18),randomselection(Ingredient!$E$2:$E$18))))))</f>
        <v>french fries</v>
      </c>
      <c r="D200" t="str">
        <f>VLOOKUP(IngredientGenerator!C200,Ingredient!$A$21:$F$111,2,FALSE)</f>
        <v>package</v>
      </c>
      <c r="E200" t="s">
        <v>112</v>
      </c>
      <c r="F200" t="str">
        <f t="shared" si="3"/>
        <v>french fries is a very nice food and beverage category that is categorized under western cuisine</v>
      </c>
      <c r="G200">
        <f>VLOOKUP(IngredientGenerator!C200,Ingredient!$A$21:$F$111,6,FALSE)</f>
        <v>2.2000000000000002</v>
      </c>
    </row>
    <row r="201" spans="1:7" x14ac:dyDescent="0.25">
      <c r="A201">
        <v>25</v>
      </c>
      <c r="B201" t="s">
        <v>113</v>
      </c>
      <c r="C201" t="str">
        <f>IF(B201="western",randomselection(Ingredient!$A$2:$A$18),IF(B201="asian",randomselection(Ingredient!$B$2:$B$18),IF(B201="fusion",randomselection(Ingredient!$C$2:$C$18),IF(B201="asian",randomselection(Ingredient!$B$2:$B$18),IF(B201="vegetable",randomselection(Ingredient!$D$2:$D$18),randomselection(Ingredient!$E$2:$E$18))))))</f>
        <v>cremini mushrooms</v>
      </c>
      <c r="D201" t="str">
        <f>VLOOKUP(IngredientGenerator!C201,Ingredient!$A$21:$F$111,2,FALSE)</f>
        <v>can</v>
      </c>
      <c r="E201" t="s">
        <v>113</v>
      </c>
      <c r="F201" t="str">
        <f t="shared" si="3"/>
        <v>cremini mushrooms is a very nice food and beverage category that is categorized under asian cuisine</v>
      </c>
      <c r="G201">
        <f>VLOOKUP(IngredientGenerator!C201,Ingredient!$A$21:$F$111,6,FALSE)</f>
        <v>2.4</v>
      </c>
    </row>
    <row r="202" spans="1:7" x14ac:dyDescent="0.25">
      <c r="A202">
        <v>26</v>
      </c>
      <c r="B202" t="s">
        <v>112</v>
      </c>
      <c r="C202" t="str">
        <f>IF(B202="western",randomselection(Ingredient!$A$2:$A$18),IF(B202="asian",randomselection(Ingredient!$B$2:$B$18),IF(B202="fusion",randomselection(Ingredient!$C$2:$C$18),IF(B202="asian",randomselection(Ingredient!$B$2:$B$18),IF(B202="vegetable",randomselection(Ingredient!$D$2:$D$18),randomselection(Ingredient!$E$2:$E$18))))))</f>
        <v>canola oil</v>
      </c>
      <c r="D202" t="str">
        <f>VLOOKUP(IngredientGenerator!C202,Ingredient!$A$21:$F$111,2,FALSE)</f>
        <v>can</v>
      </c>
      <c r="E202" t="s">
        <v>112</v>
      </c>
      <c r="F202" t="str">
        <f t="shared" si="3"/>
        <v>canola oil is a very nice food and beverage category that is categorized under western cuisine</v>
      </c>
      <c r="G202">
        <f>VLOOKUP(IngredientGenerator!C202,Ingredient!$A$21:$F$111,6,FALSE)</f>
        <v>5.3</v>
      </c>
    </row>
    <row r="203" spans="1:7" x14ac:dyDescent="0.25">
      <c r="A203">
        <v>27</v>
      </c>
      <c r="B203" t="s">
        <v>112</v>
      </c>
      <c r="C203" t="str">
        <f>IF(B203="western",randomselection(Ingredient!$A$2:$A$18),IF(B203="asian",randomselection(Ingredient!$B$2:$B$18),IF(B203="fusion",randomselection(Ingredient!$C$2:$C$18),IF(B203="asian",randomselection(Ingredient!$B$2:$B$18),IF(B203="vegetable",randomselection(Ingredient!$D$2:$D$18),randomselection(Ingredient!$E$2:$E$18))))))</f>
        <v>hash browns</v>
      </c>
      <c r="D203" t="str">
        <f>VLOOKUP(IngredientGenerator!C203,Ingredient!$A$21:$F$111,2,FALSE)</f>
        <v>package</v>
      </c>
      <c r="E203" t="s">
        <v>112</v>
      </c>
      <c r="F203" t="str">
        <f t="shared" si="3"/>
        <v>hash browns is a very nice food and beverage category that is categorized under western cuisine</v>
      </c>
      <c r="G203">
        <f>VLOOKUP(IngredientGenerator!C203,Ingredient!$A$21:$F$111,6,FALSE)</f>
        <v>4.5999999999999996</v>
      </c>
    </row>
    <row r="204" spans="1:7" x14ac:dyDescent="0.25">
      <c r="A204">
        <v>28</v>
      </c>
      <c r="B204" t="s">
        <v>114</v>
      </c>
      <c r="C204" t="str">
        <f>IF(B204="western",randomselection(Ingredient!$A$2:$A$18),IF(B204="asian",randomselection(Ingredient!$B$2:$B$18),IF(B204="fusion",randomselection(Ingredient!$C$2:$C$18),IF(B204="asian",randomselection(Ingredient!$B$2:$B$18),IF(B204="vegetable",randomselection(Ingredient!$D$2:$D$18),randomselection(Ingredient!$E$2:$E$18))))))</f>
        <v>feta cheese</v>
      </c>
      <c r="D204" t="str">
        <f>VLOOKUP(IngredientGenerator!C204,Ingredient!$A$21:$F$111,2,FALSE)</f>
        <v>package</v>
      </c>
      <c r="E204" t="s">
        <v>114</v>
      </c>
      <c r="F204" t="str">
        <f t="shared" si="3"/>
        <v>feta cheese is a very nice food and beverage category that is categorized under fusion cuisine</v>
      </c>
      <c r="G204">
        <f>VLOOKUP(IngredientGenerator!C204,Ingredient!$A$21:$F$111,6,FALSE)</f>
        <v>1.7</v>
      </c>
    </row>
    <row r="205" spans="1:7" x14ac:dyDescent="0.25">
      <c r="A205">
        <v>29</v>
      </c>
      <c r="B205" t="s">
        <v>114</v>
      </c>
      <c r="C205" t="str">
        <f>IF(B205="western",randomselection(Ingredient!$A$2:$A$18),IF(B205="asian",randomselection(Ingredient!$B$2:$B$18),IF(B205="fusion",randomselection(Ingredient!$C$2:$C$18),IF(B205="asian",randomselection(Ingredient!$B$2:$B$18),IF(B205="vegetable",randomselection(Ingredient!$D$2:$D$18),randomselection(Ingredient!$E$2:$E$18))))))</f>
        <v>cabbage</v>
      </c>
      <c r="D205" t="str">
        <f>VLOOKUP(IngredientGenerator!C205,Ingredient!$A$21:$F$111,2,FALSE)</f>
        <v>piece</v>
      </c>
      <c r="E205" t="s">
        <v>114</v>
      </c>
      <c r="F205" t="str">
        <f t="shared" si="3"/>
        <v>cabbage is a very nice food and beverage category that is categorized under fusion cuisine</v>
      </c>
      <c r="G205">
        <f>VLOOKUP(IngredientGenerator!C205,Ingredient!$A$21:$F$111,6,FALSE)</f>
        <v>4.9000000000000004</v>
      </c>
    </row>
    <row r="206" spans="1:7" x14ac:dyDescent="0.25">
      <c r="A206">
        <v>30</v>
      </c>
      <c r="B206" t="s">
        <v>116</v>
      </c>
      <c r="C206" t="str">
        <f>IF(B206="western",randomselection(Ingredient!$A$2:$A$18),IF(B206="asian",randomselection(Ingredient!$B$2:$B$18),IF(B206="fusion",randomselection(Ingredient!$C$2:$C$18),IF(B206="asian",randomselection(Ingredient!$B$2:$B$18),IF(B206="vegetable",randomselection(Ingredient!$D$2:$D$18),randomselection(Ingredient!$E$2:$E$18))))))</f>
        <v>cayenne pepper</v>
      </c>
      <c r="D206" t="str">
        <f>VLOOKUP(IngredientGenerator!C206,Ingredient!$A$21:$F$111,2,FALSE)</f>
        <v>can</v>
      </c>
      <c r="E206" t="s">
        <v>116</v>
      </c>
      <c r="F206" t="str">
        <f t="shared" si="3"/>
        <v>cayenne pepper is a very nice food and beverage category that is categorized under beverage cuisine</v>
      </c>
      <c r="G206">
        <f>VLOOKUP(IngredientGenerator!C206,Ingredient!$A$21:$F$111,6,FALSE)</f>
        <v>3.1</v>
      </c>
    </row>
    <row r="207" spans="1:7" x14ac:dyDescent="0.25">
      <c r="A207">
        <v>31</v>
      </c>
      <c r="B207" t="s">
        <v>116</v>
      </c>
      <c r="C207" t="str">
        <f>IF(B207="western",randomselection(Ingredient!$A$2:$A$18),IF(B207="asian",randomselection(Ingredient!$B$2:$B$18),IF(B207="fusion",randomselection(Ingredient!$C$2:$C$18),IF(B207="asian",randomselection(Ingredient!$B$2:$B$18),IF(B207="vegetable",randomselection(Ingredient!$D$2:$D$18),randomselection(Ingredient!$E$2:$E$18))))))</f>
        <v>tomato puree</v>
      </c>
      <c r="D207" t="str">
        <f>VLOOKUP(IngredientGenerator!C207,Ingredient!$A$21:$F$111,2,FALSE)</f>
        <v>can</v>
      </c>
      <c r="E207" t="s">
        <v>116</v>
      </c>
      <c r="F207" t="str">
        <f t="shared" si="3"/>
        <v>tomato puree is a very nice food and beverage category that is categorized under beverage cuisine</v>
      </c>
      <c r="G207">
        <f>VLOOKUP(IngredientGenerator!C207,Ingredient!$A$21:$F$111,6,FALSE)</f>
        <v>3.4</v>
      </c>
    </row>
    <row r="208" spans="1:7" x14ac:dyDescent="0.25">
      <c r="A208">
        <v>32</v>
      </c>
      <c r="B208" t="s">
        <v>114</v>
      </c>
      <c r="C208" t="str">
        <f>IF(B208="western",randomselection(Ingredient!$A$2:$A$18),IF(B208="asian",randomselection(Ingredient!$B$2:$B$18),IF(B208="fusion",randomselection(Ingredient!$C$2:$C$18),IF(B208="asian",randomselection(Ingredient!$B$2:$B$18),IF(B208="vegetable",randomselection(Ingredient!$D$2:$D$18),randomselection(Ingredient!$E$2:$E$18))))))</f>
        <v>cottage cheese</v>
      </c>
      <c r="D208" t="str">
        <f>VLOOKUP(IngredientGenerator!C208,Ingredient!$A$21:$F$111,2,FALSE)</f>
        <v>package</v>
      </c>
      <c r="E208" t="s">
        <v>114</v>
      </c>
      <c r="F208" t="str">
        <f t="shared" si="3"/>
        <v>cottage cheese is a very nice food and beverage category that is categorized under fusion cuisine</v>
      </c>
      <c r="G208">
        <f>VLOOKUP(IngredientGenerator!C208,Ingredient!$A$21:$F$111,6,FALSE)</f>
        <v>3.1</v>
      </c>
    </row>
    <row r="209" spans="1:7" x14ac:dyDescent="0.25">
      <c r="A209">
        <v>33</v>
      </c>
      <c r="B209" t="s">
        <v>112</v>
      </c>
      <c r="C209" t="str">
        <f>IF(B209="western",randomselection(Ingredient!$A$2:$A$18),IF(B209="asian",randomselection(Ingredient!$B$2:$B$18),IF(B209="fusion",randomselection(Ingredient!$C$2:$C$18),IF(B209="asian",randomselection(Ingredient!$B$2:$B$18),IF(B209="vegetable",randomselection(Ingredient!$D$2:$D$18),randomselection(Ingredient!$E$2:$E$18))))))</f>
        <v>corned beef</v>
      </c>
      <c r="D209" t="str">
        <f>VLOOKUP(IngredientGenerator!C209,Ingredient!$A$21:$F$111,2,FALSE)</f>
        <v>can</v>
      </c>
      <c r="E209" t="s">
        <v>112</v>
      </c>
      <c r="F209" t="str">
        <f t="shared" si="3"/>
        <v>corned beef is a very nice food and beverage category that is categorized under western cuisine</v>
      </c>
      <c r="G209">
        <f>VLOOKUP(IngredientGenerator!C209,Ingredient!$A$21:$F$111,6,FALSE)</f>
        <v>5.0999999999999996</v>
      </c>
    </row>
    <row r="210" spans="1:7" x14ac:dyDescent="0.25">
      <c r="A210">
        <v>34</v>
      </c>
      <c r="B210" t="s">
        <v>112</v>
      </c>
      <c r="C210" t="str">
        <f>IF(B210="western",randomselection(Ingredient!$A$2:$A$18),IF(B210="asian",randomselection(Ingredient!$B$2:$B$18),IF(B210="fusion",randomselection(Ingredient!$C$2:$C$18),IF(B210="asian",randomselection(Ingredient!$B$2:$B$18),IF(B210="vegetable",randomselection(Ingredient!$D$2:$D$18),randomselection(Ingredient!$E$2:$E$18))))))</f>
        <v>corned beef</v>
      </c>
      <c r="D210" t="str">
        <f>VLOOKUP(IngredientGenerator!C210,Ingredient!$A$21:$F$111,2,FALSE)</f>
        <v>can</v>
      </c>
      <c r="E210" t="s">
        <v>112</v>
      </c>
      <c r="F210" t="str">
        <f t="shared" si="3"/>
        <v>corned beef is a very nice food and beverage category that is categorized under western cuisine</v>
      </c>
      <c r="G210">
        <f>VLOOKUP(IngredientGenerator!C210,Ingredient!$A$21:$F$111,6,FALSE)</f>
        <v>5.0999999999999996</v>
      </c>
    </row>
    <row r="211" spans="1:7" x14ac:dyDescent="0.25">
      <c r="A211">
        <v>35</v>
      </c>
      <c r="B211" t="s">
        <v>113</v>
      </c>
      <c r="C211" t="str">
        <f>IF(B211="western",randomselection(Ingredient!$A$2:$A$18),IF(B211="asian",randomselection(Ingredient!$B$2:$B$18),IF(B211="fusion",randomselection(Ingredient!$C$2:$C$18),IF(B211="asian",randomselection(Ingredient!$B$2:$B$18),IF(B211="vegetable",randomselection(Ingredient!$D$2:$D$18),randomselection(Ingredient!$E$2:$E$18))))))</f>
        <v>lettuce</v>
      </c>
      <c r="D211" t="str">
        <f>VLOOKUP(IngredientGenerator!C211,Ingredient!$A$21:$F$111,2,FALSE)</f>
        <v>package</v>
      </c>
      <c r="E211" t="s">
        <v>113</v>
      </c>
      <c r="F211" t="str">
        <f t="shared" si="3"/>
        <v>lettuce is a very nice food and beverage category that is categorized under asian cuisine</v>
      </c>
      <c r="G211">
        <f>VLOOKUP(IngredientGenerator!C211,Ingredient!$A$21:$F$111,6,FALSE)</f>
        <v>2.6</v>
      </c>
    </row>
    <row r="212" spans="1:7" x14ac:dyDescent="0.25">
      <c r="A212">
        <v>36</v>
      </c>
      <c r="B212" t="s">
        <v>112</v>
      </c>
      <c r="C212" t="str">
        <f>IF(B212="western",randomselection(Ingredient!$A$2:$A$18),IF(B212="asian",randomselection(Ingredient!$B$2:$B$18),IF(B212="fusion",randomselection(Ingredient!$C$2:$C$18),IF(B212="asian",randomselection(Ingredient!$B$2:$B$18),IF(B212="vegetable",randomselection(Ingredient!$D$2:$D$18),randomselection(Ingredient!$E$2:$E$18))))))</f>
        <v>sauerkraut</v>
      </c>
      <c r="D212" t="str">
        <f>VLOOKUP(IngredientGenerator!C212,Ingredient!$A$21:$F$111,2,FALSE)</f>
        <v>can</v>
      </c>
      <c r="E212" t="s">
        <v>112</v>
      </c>
      <c r="F212" t="str">
        <f t="shared" si="3"/>
        <v>sauerkraut is a very nice food and beverage category that is categorized under western cuisine</v>
      </c>
      <c r="G212">
        <f>VLOOKUP(IngredientGenerator!C212,Ingredient!$A$21:$F$111,6,FALSE)</f>
        <v>4</v>
      </c>
    </row>
    <row r="213" spans="1:7" x14ac:dyDescent="0.25">
      <c r="A213">
        <v>37</v>
      </c>
      <c r="B213" t="s">
        <v>115</v>
      </c>
      <c r="C213" t="str">
        <f>IF(B213="western",randomselection(Ingredient!$A$2:$A$18),IF(B213="asian",randomselection(Ingredient!$B$2:$B$18),IF(B213="fusion",randomselection(Ingredient!$C$2:$C$18),IF(B213="asian",randomselection(Ingredient!$B$2:$B$18),IF(B213="vegetable",randomselection(Ingredient!$D$2:$D$18),randomselection(Ingredient!$E$2:$E$18))))))</f>
        <v>strawberries</v>
      </c>
      <c r="D213" t="str">
        <f>VLOOKUP(IngredientGenerator!C213,Ingredient!$A$21:$F$111,2,FALSE)</f>
        <v>can</v>
      </c>
      <c r="E213" t="s">
        <v>115</v>
      </c>
      <c r="F213" t="str">
        <f t="shared" si="3"/>
        <v>strawberries is a very nice food and beverage category that is categorized under vegetable cuisine</v>
      </c>
      <c r="G213">
        <f>VLOOKUP(IngredientGenerator!C213,Ingredient!$A$21:$F$111,6,FALSE)</f>
        <v>3.6</v>
      </c>
    </row>
    <row r="214" spans="1:7" x14ac:dyDescent="0.25">
      <c r="A214">
        <v>38</v>
      </c>
      <c r="B214" t="s">
        <v>114</v>
      </c>
      <c r="C214" t="str">
        <f>IF(B214="western",randomselection(Ingredient!$A$2:$A$18),IF(B214="asian",randomselection(Ingredient!$B$2:$B$18),IF(B214="fusion",randomselection(Ingredient!$C$2:$C$18),IF(B214="asian",randomselection(Ingredient!$B$2:$B$18),IF(B214="vegetable",randomselection(Ingredient!$D$2:$D$18),randomselection(Ingredient!$E$2:$E$18))))))</f>
        <v>red pepper flakes</v>
      </c>
      <c r="D214" t="str">
        <f>VLOOKUP(IngredientGenerator!C214,Ingredient!$A$21:$F$111,2,FALSE)</f>
        <v>package</v>
      </c>
      <c r="E214" t="s">
        <v>114</v>
      </c>
      <c r="F214" t="str">
        <f t="shared" si="3"/>
        <v>red pepper flakes is a very nice food and beverage category that is categorized under fusion cuisine</v>
      </c>
      <c r="G214">
        <f>VLOOKUP(IngredientGenerator!C214,Ingredient!$A$21:$F$111,6,FALSE)</f>
        <v>2</v>
      </c>
    </row>
    <row r="215" spans="1:7" x14ac:dyDescent="0.25">
      <c r="A215">
        <v>39</v>
      </c>
      <c r="B215" t="s">
        <v>114</v>
      </c>
      <c r="C215" t="str">
        <f>IF(B215="western",randomselection(Ingredient!$A$2:$A$18),IF(B215="asian",randomselection(Ingredient!$B$2:$B$18),IF(B215="fusion",randomselection(Ingredient!$C$2:$C$18),IF(B215="asian",randomselection(Ingredient!$B$2:$B$18),IF(B215="vegetable",randomselection(Ingredient!$D$2:$D$18),randomselection(Ingredient!$E$2:$E$18))))))</f>
        <v>pumpkin seeds</v>
      </c>
      <c r="D215" t="str">
        <f>VLOOKUP(IngredientGenerator!C215,Ingredient!$A$21:$F$111,2,FALSE)</f>
        <v>package</v>
      </c>
      <c r="E215" t="s">
        <v>114</v>
      </c>
      <c r="F215" t="str">
        <f t="shared" si="3"/>
        <v>pumpkin seeds is a very nice food and beverage category that is categorized under fusion cuisine</v>
      </c>
      <c r="G215">
        <f>VLOOKUP(IngredientGenerator!C215,Ingredient!$A$21:$F$111,6,FALSE)</f>
        <v>3.4</v>
      </c>
    </row>
    <row r="216" spans="1:7" x14ac:dyDescent="0.25">
      <c r="A216">
        <v>40</v>
      </c>
      <c r="B216" t="s">
        <v>113</v>
      </c>
      <c r="C216" t="str">
        <f>IF(B216="western",randomselection(Ingredient!$A$2:$A$18),IF(B216="asian",randomselection(Ingredient!$B$2:$B$18),IF(B216="fusion",randomselection(Ingredient!$C$2:$C$18),IF(B216="asian",randomselection(Ingredient!$B$2:$B$18),IF(B216="vegetable",randomselection(Ingredient!$D$2:$D$18),randomselection(Ingredient!$E$2:$E$18))))))</f>
        <v>leeks</v>
      </c>
      <c r="D216" t="str">
        <f>VLOOKUP(IngredientGenerator!C216,Ingredient!$A$21:$F$111,2,FALSE)</f>
        <v>package</v>
      </c>
      <c r="E216" t="s">
        <v>113</v>
      </c>
      <c r="F216" t="str">
        <f t="shared" si="3"/>
        <v>leeks is a very nice food and beverage category that is categorized under asian cuisine</v>
      </c>
      <c r="G216">
        <f>VLOOKUP(IngredientGenerator!C216,Ingredient!$A$21:$F$111,6,FALSE)</f>
        <v>4.5999999999999996</v>
      </c>
    </row>
    <row r="217" spans="1:7" x14ac:dyDescent="0.25">
      <c r="A217">
        <v>41</v>
      </c>
      <c r="B217" t="s">
        <v>115</v>
      </c>
      <c r="C217" t="str">
        <f>IF(B217="western",randomselection(Ingredient!$A$2:$A$18),IF(B217="asian",randomselection(Ingredient!$B$2:$B$18),IF(B217="fusion",randomselection(Ingredient!$C$2:$C$18),IF(B217="asian",randomselection(Ingredient!$B$2:$B$18),IF(B217="vegetable",randomselection(Ingredient!$D$2:$D$18),randomselection(Ingredient!$E$2:$E$18))))))</f>
        <v>nectarines</v>
      </c>
      <c r="D217" t="str">
        <f>VLOOKUP(IngredientGenerator!C217,Ingredient!$A$21:$F$111,2,FALSE)</f>
        <v>can</v>
      </c>
      <c r="E217" t="s">
        <v>115</v>
      </c>
      <c r="F217" t="str">
        <f t="shared" si="3"/>
        <v>nectarines is a very nice food and beverage category that is categorized under vegetable cuisine</v>
      </c>
      <c r="G217">
        <f>VLOOKUP(IngredientGenerator!C217,Ingredient!$A$21:$F$111,6,FALSE)</f>
        <v>2</v>
      </c>
    </row>
    <row r="218" spans="1:7" x14ac:dyDescent="0.25">
      <c r="A218">
        <v>42</v>
      </c>
      <c r="B218" t="s">
        <v>114</v>
      </c>
      <c r="C218" t="str">
        <f>IF(B218="western",randomselection(Ingredient!$A$2:$A$18),IF(B218="asian",randomselection(Ingredient!$B$2:$B$18),IF(B218="fusion",randomselection(Ingredient!$C$2:$C$18),IF(B218="asian",randomselection(Ingredient!$B$2:$B$18),IF(B218="vegetable",randomselection(Ingredient!$D$2:$D$18),randomselection(Ingredient!$E$2:$E$18))))))</f>
        <v>coriander</v>
      </c>
      <c r="D218" t="str">
        <f>VLOOKUP(IngredientGenerator!C218,Ingredient!$A$21:$F$111,2,FALSE)</f>
        <v>can</v>
      </c>
      <c r="E218" t="s">
        <v>114</v>
      </c>
      <c r="F218" t="str">
        <f t="shared" si="3"/>
        <v>coriander is a very nice food and beverage category that is categorized under fusion cuisine</v>
      </c>
      <c r="G218">
        <f>VLOOKUP(IngredientGenerator!C218,Ingredient!$A$21:$F$111,6,FALSE)</f>
        <v>1.5</v>
      </c>
    </row>
    <row r="219" spans="1:7" x14ac:dyDescent="0.25">
      <c r="A219">
        <v>43</v>
      </c>
      <c r="B219" t="s">
        <v>112</v>
      </c>
      <c r="C219" t="str">
        <f>IF(B219="western",randomselection(Ingredient!$A$2:$A$18),IF(B219="asian",randomselection(Ingredient!$B$2:$B$18),IF(B219="fusion",randomselection(Ingredient!$C$2:$C$18),IF(B219="asian",randomselection(Ingredient!$B$2:$B$18),IF(B219="vegetable",randomselection(Ingredient!$D$2:$D$18),randomselection(Ingredient!$E$2:$E$18))))))</f>
        <v>poppy seeds</v>
      </c>
      <c r="D219" t="str">
        <f>VLOOKUP(IngredientGenerator!C219,Ingredient!$A$21:$F$111,2,FALSE)</f>
        <v>can</v>
      </c>
      <c r="E219" t="s">
        <v>112</v>
      </c>
      <c r="F219" t="str">
        <f t="shared" si="3"/>
        <v>poppy seeds is a very nice food and beverage category that is categorized under western cuisine</v>
      </c>
      <c r="G219">
        <f>VLOOKUP(IngredientGenerator!C219,Ingredient!$A$21:$F$111,6,FALSE)</f>
        <v>3.7</v>
      </c>
    </row>
    <row r="220" spans="1:7" x14ac:dyDescent="0.25">
      <c r="A220">
        <v>44</v>
      </c>
      <c r="B220" t="s">
        <v>112</v>
      </c>
      <c r="C220" t="str">
        <f>IF(B220="western",randomselection(Ingredient!$A$2:$A$18),IF(B220="asian",randomselection(Ingredient!$B$2:$B$18),IF(B220="fusion",randomselection(Ingredient!$C$2:$C$18),IF(B220="asian",randomselection(Ingredient!$B$2:$B$18),IF(B220="vegetable",randomselection(Ingredient!$D$2:$D$18),randomselection(Ingredient!$E$2:$E$18))))))</f>
        <v>sauerkraut</v>
      </c>
      <c r="D220" t="str">
        <f>VLOOKUP(IngredientGenerator!C220,Ingredient!$A$21:$F$111,2,FALSE)</f>
        <v>can</v>
      </c>
      <c r="E220" t="s">
        <v>112</v>
      </c>
      <c r="F220" t="str">
        <f t="shared" si="3"/>
        <v>sauerkraut is a very nice food and beverage category that is categorized under western cuisine</v>
      </c>
      <c r="G220">
        <f>VLOOKUP(IngredientGenerator!C220,Ingredient!$A$21:$F$111,6,FALSE)</f>
        <v>4</v>
      </c>
    </row>
    <row r="221" spans="1:7" x14ac:dyDescent="0.25">
      <c r="A221">
        <v>45</v>
      </c>
      <c r="B221" t="s">
        <v>112</v>
      </c>
      <c r="C221" t="str">
        <f>IF(B221="western",randomselection(Ingredient!$A$2:$A$18),IF(B221="asian",randomselection(Ingredient!$B$2:$B$18),IF(B221="fusion",randomselection(Ingredient!$C$2:$C$18),IF(B221="asian",randomselection(Ingredient!$B$2:$B$18),IF(B221="vegetable",randomselection(Ingredient!$D$2:$D$18),randomselection(Ingredient!$E$2:$E$18))))))</f>
        <v>cream of tartar</v>
      </c>
      <c r="D221" t="str">
        <f>VLOOKUP(IngredientGenerator!C221,Ingredient!$A$21:$F$111,2,FALSE)</f>
        <v>can</v>
      </c>
      <c r="E221" t="s">
        <v>112</v>
      </c>
      <c r="F221" t="str">
        <f t="shared" si="3"/>
        <v>cream of tartar is a very nice food and beverage category that is categorized under western cuisine</v>
      </c>
      <c r="G221">
        <f>VLOOKUP(IngredientGenerator!C221,Ingredient!$A$21:$F$111,6,FALSE)</f>
        <v>2.2000000000000002</v>
      </c>
    </row>
    <row r="222" spans="1:7" x14ac:dyDescent="0.25">
      <c r="A222">
        <v>46</v>
      </c>
      <c r="B222" t="s">
        <v>115</v>
      </c>
      <c r="C222" t="str">
        <f>IF(B222="western",randomselection(Ingredient!$A$2:$A$18),IF(B222="asian",randomselection(Ingredient!$B$2:$B$18),IF(B222="fusion",randomselection(Ingredient!$C$2:$C$18),IF(B222="asian",randomselection(Ingredient!$B$2:$B$18),IF(B222="vegetable",randomselection(Ingredient!$D$2:$D$18),randomselection(Ingredient!$E$2:$E$18))))))</f>
        <v>brussels sprouts</v>
      </c>
      <c r="D222" t="str">
        <f>VLOOKUP(IngredientGenerator!C222,Ingredient!$A$21:$F$111,2,FALSE)</f>
        <v>can</v>
      </c>
      <c r="E222" t="s">
        <v>115</v>
      </c>
      <c r="F222" t="str">
        <f t="shared" si="3"/>
        <v>brussels sprouts is a very nice food and beverage category that is categorized under vegetable cuisine</v>
      </c>
      <c r="G222">
        <f>VLOOKUP(IngredientGenerator!C222,Ingredient!$A$21:$F$111,6,FALSE)</f>
        <v>2.7</v>
      </c>
    </row>
    <row r="223" spans="1:7" x14ac:dyDescent="0.25">
      <c r="A223">
        <v>47</v>
      </c>
      <c r="B223" t="s">
        <v>114</v>
      </c>
      <c r="C223" t="str">
        <f>IF(B223="western",randomselection(Ingredient!$A$2:$A$18),IF(B223="asian",randomselection(Ingredient!$B$2:$B$18),IF(B223="fusion",randomselection(Ingredient!$C$2:$C$18),IF(B223="asian",randomselection(Ingredient!$B$2:$B$18),IF(B223="vegetable",randomselection(Ingredient!$D$2:$D$18),randomselection(Ingredient!$E$2:$E$18))))))</f>
        <v>pumpkin seeds</v>
      </c>
      <c r="D223" t="str">
        <f>VLOOKUP(IngredientGenerator!C223,Ingredient!$A$21:$F$111,2,FALSE)</f>
        <v>package</v>
      </c>
      <c r="E223" t="s">
        <v>114</v>
      </c>
      <c r="F223" t="str">
        <f t="shared" si="3"/>
        <v>pumpkin seeds is a very nice food and beverage category that is categorized under fusion cuisine</v>
      </c>
      <c r="G223">
        <f>VLOOKUP(IngredientGenerator!C223,Ingredient!$A$21:$F$111,6,FALSE)</f>
        <v>3.4</v>
      </c>
    </row>
    <row r="224" spans="1:7" x14ac:dyDescent="0.25">
      <c r="A224">
        <v>48</v>
      </c>
      <c r="B224" t="s">
        <v>114</v>
      </c>
      <c r="C224" t="str">
        <f>IF(B224="western",randomselection(Ingredient!$A$2:$A$18),IF(B224="asian",randomselection(Ingredient!$B$2:$B$18),IF(B224="fusion",randomselection(Ingredient!$C$2:$C$18),IF(B224="asian",randomselection(Ingredient!$B$2:$B$18),IF(B224="vegetable",randomselection(Ingredient!$D$2:$D$18),randomselection(Ingredient!$E$2:$E$18))))))</f>
        <v>cottage cheese</v>
      </c>
      <c r="D224" t="str">
        <f>VLOOKUP(IngredientGenerator!C224,Ingredient!$A$21:$F$111,2,FALSE)</f>
        <v>package</v>
      </c>
      <c r="E224" t="s">
        <v>114</v>
      </c>
      <c r="F224" t="str">
        <f t="shared" si="3"/>
        <v>cottage cheese is a very nice food and beverage category that is categorized under fusion cuisine</v>
      </c>
      <c r="G224">
        <f>VLOOKUP(IngredientGenerator!C224,Ingredient!$A$21:$F$111,6,FALSE)</f>
        <v>3.1</v>
      </c>
    </row>
    <row r="225" spans="1:7" x14ac:dyDescent="0.25">
      <c r="A225">
        <v>49</v>
      </c>
      <c r="B225" t="s">
        <v>114</v>
      </c>
      <c r="C225" t="str">
        <f>IF(B225="western",randomselection(Ingredient!$A$2:$A$18),IF(B225="asian",randomselection(Ingredient!$B$2:$B$18),IF(B225="fusion",randomselection(Ingredient!$C$2:$C$18),IF(B225="asian",randomselection(Ingredient!$B$2:$B$18),IF(B225="vegetable",randomselection(Ingredient!$D$2:$D$18),randomselection(Ingredient!$E$2:$E$18))))))</f>
        <v>feta cheese</v>
      </c>
      <c r="D225" t="str">
        <f>VLOOKUP(IngredientGenerator!C225,Ingredient!$A$21:$F$111,2,FALSE)</f>
        <v>package</v>
      </c>
      <c r="E225" t="s">
        <v>114</v>
      </c>
      <c r="F225" t="str">
        <f t="shared" si="3"/>
        <v>feta cheese is a very nice food and beverage category that is categorized under fusion cuisine</v>
      </c>
      <c r="G225">
        <f>VLOOKUP(IngredientGenerator!C225,Ingredient!$A$21:$F$111,6,FALSE)</f>
        <v>1.7</v>
      </c>
    </row>
    <row r="226" spans="1:7" x14ac:dyDescent="0.25">
      <c r="A226">
        <v>50</v>
      </c>
      <c r="B226" t="s">
        <v>114</v>
      </c>
      <c r="C226" t="str">
        <f>IF(B226="western",randomselection(Ingredient!$A$2:$A$18),IF(B226="asian",randomselection(Ingredient!$B$2:$B$18),IF(B226="fusion",randomselection(Ingredient!$C$2:$C$18),IF(B226="asian",randomselection(Ingredient!$B$2:$B$18),IF(B226="vegetable",randomselection(Ingredient!$D$2:$D$18),randomselection(Ingredient!$E$2:$E$18))))))</f>
        <v>feta cheese</v>
      </c>
      <c r="D226" t="str">
        <f>VLOOKUP(IngredientGenerator!C226,Ingredient!$A$21:$F$111,2,FALSE)</f>
        <v>package</v>
      </c>
      <c r="E226" t="s">
        <v>114</v>
      </c>
      <c r="F226" t="str">
        <f t="shared" si="3"/>
        <v>feta cheese is a very nice food and beverage category that is categorized under fusion cuisine</v>
      </c>
      <c r="G226">
        <f>VLOOKUP(IngredientGenerator!C226,Ingredient!$A$21:$F$111,6,FALSE)</f>
        <v>1.7</v>
      </c>
    </row>
    <row r="227" spans="1:7" x14ac:dyDescent="0.25">
      <c r="A227">
        <v>51</v>
      </c>
      <c r="B227" t="s">
        <v>114</v>
      </c>
      <c r="C227" t="str">
        <f>IF(B227="western",randomselection(Ingredient!$A$2:$A$18),IF(B227="asian",randomselection(Ingredient!$B$2:$B$18),IF(B227="fusion",randomselection(Ingredient!$C$2:$C$18),IF(B227="asian",randomselection(Ingredient!$B$2:$B$18),IF(B227="vegetable",randomselection(Ingredient!$D$2:$D$18),randomselection(Ingredient!$E$2:$E$18))))))</f>
        <v>ricotta cheese</v>
      </c>
      <c r="D227" t="str">
        <f>VLOOKUP(IngredientGenerator!C227,Ingredient!$A$21:$F$111,2,FALSE)</f>
        <v>package</v>
      </c>
      <c r="E227" t="s">
        <v>114</v>
      </c>
      <c r="F227" t="str">
        <f t="shared" si="3"/>
        <v>ricotta cheese is a very nice food and beverage category that is categorized under fusion cuisine</v>
      </c>
      <c r="G227">
        <f>VLOOKUP(IngredientGenerator!C227,Ingredient!$A$21:$F$111,6,FALSE)</f>
        <v>1.4</v>
      </c>
    </row>
    <row r="228" spans="1:7" x14ac:dyDescent="0.25">
      <c r="A228">
        <v>52</v>
      </c>
      <c r="B228" t="s">
        <v>114</v>
      </c>
      <c r="C228" t="str">
        <f>IF(B228="western",randomselection(Ingredient!$A$2:$A$18),IF(B228="asian",randomselection(Ingredient!$B$2:$B$18),IF(B228="fusion",randomselection(Ingredient!$C$2:$C$18),IF(B228="asian",randomselection(Ingredient!$B$2:$B$18),IF(B228="vegetable",randomselection(Ingredient!$D$2:$D$18),randomselection(Ingredient!$E$2:$E$18))))))</f>
        <v>eggplants</v>
      </c>
      <c r="D228" t="str">
        <f>VLOOKUP(IngredientGenerator!C228,Ingredient!$A$21:$F$111,2,FALSE)</f>
        <v>can</v>
      </c>
      <c r="E228" t="s">
        <v>114</v>
      </c>
      <c r="F228" t="str">
        <f t="shared" si="3"/>
        <v>eggplants is a very nice food and beverage category that is categorized under fusion cuisine</v>
      </c>
      <c r="G228">
        <f>VLOOKUP(IngredientGenerator!C228,Ingredient!$A$21:$F$111,6,FALSE)</f>
        <v>5.8</v>
      </c>
    </row>
    <row r="229" spans="1:7" x14ac:dyDescent="0.25">
      <c r="A229">
        <v>53</v>
      </c>
      <c r="B229" t="s">
        <v>113</v>
      </c>
      <c r="C229" t="str">
        <f>IF(B229="western",randomselection(Ingredient!$A$2:$A$18),IF(B229="asian",randomselection(Ingredient!$B$2:$B$18),IF(B229="fusion",randomselection(Ingredient!$C$2:$C$18),IF(B229="asian",randomselection(Ingredient!$B$2:$B$18),IF(B229="vegetable",randomselection(Ingredient!$D$2:$D$18),randomselection(Ingredient!$E$2:$E$18))))))</f>
        <v>borscht</v>
      </c>
      <c r="D229" t="str">
        <f>VLOOKUP(IngredientGenerator!C229,Ingredient!$A$21:$F$111,2,FALSE)</f>
        <v>bottle</v>
      </c>
      <c r="E229" t="s">
        <v>113</v>
      </c>
      <c r="F229" t="str">
        <f t="shared" si="3"/>
        <v>borscht is a very nice food and beverage category that is categorized under asian cuisine</v>
      </c>
      <c r="G229">
        <f>VLOOKUP(IngredientGenerator!C229,Ingredient!$A$21:$F$111,6,FALSE)</f>
        <v>5.4</v>
      </c>
    </row>
    <row r="230" spans="1:7" x14ac:dyDescent="0.25">
      <c r="A230">
        <v>54</v>
      </c>
      <c r="B230" t="s">
        <v>114</v>
      </c>
      <c r="C230" t="str">
        <f>IF(B230="western",randomselection(Ingredient!$A$2:$A$18),IF(B230="asian",randomselection(Ingredient!$B$2:$B$18),IF(B230="fusion",randomselection(Ingredient!$C$2:$C$18),IF(B230="asian",randomselection(Ingredient!$B$2:$B$18),IF(B230="vegetable",randomselection(Ingredient!$D$2:$D$18),randomselection(Ingredient!$E$2:$E$18))))))</f>
        <v>plantains</v>
      </c>
      <c r="D230" t="str">
        <f>VLOOKUP(IngredientGenerator!C230,Ingredient!$A$21:$F$111,2,FALSE)</f>
        <v>can</v>
      </c>
      <c r="E230" t="s">
        <v>114</v>
      </c>
      <c r="F230" t="str">
        <f t="shared" si="3"/>
        <v>plantains is a very nice food and beverage category that is categorized under fusion cuisine</v>
      </c>
      <c r="G230">
        <f>VLOOKUP(IngredientGenerator!C230,Ingredient!$A$21:$F$111,6,FALSE)</f>
        <v>3.5</v>
      </c>
    </row>
    <row r="231" spans="1:7" x14ac:dyDescent="0.25">
      <c r="A231">
        <v>55</v>
      </c>
      <c r="B231" t="s">
        <v>112</v>
      </c>
      <c r="C231" t="str">
        <f>IF(B231="western",randomselection(Ingredient!$A$2:$A$18),IF(B231="asian",randomselection(Ingredient!$B$2:$B$18),IF(B231="fusion",randomselection(Ingredient!$C$2:$C$18),IF(B231="asian",randomselection(Ingredient!$B$2:$B$18),IF(B231="vegetable",randomselection(Ingredient!$D$2:$D$18),randomselection(Ingredient!$E$2:$E$18))))))</f>
        <v>poppy seeds</v>
      </c>
      <c r="D231" t="str">
        <f>VLOOKUP(IngredientGenerator!C231,Ingredient!$A$21:$F$111,2,FALSE)</f>
        <v>can</v>
      </c>
      <c r="E231" t="s">
        <v>112</v>
      </c>
      <c r="F231" t="str">
        <f t="shared" si="3"/>
        <v>poppy seeds is a very nice food and beverage category that is categorized under western cuisine</v>
      </c>
      <c r="G231">
        <f>VLOOKUP(IngredientGenerator!C231,Ingredient!$A$21:$F$111,6,FALSE)</f>
        <v>3.7</v>
      </c>
    </row>
    <row r="232" spans="1:7" x14ac:dyDescent="0.25">
      <c r="A232">
        <v>56</v>
      </c>
      <c r="B232" t="s">
        <v>112</v>
      </c>
      <c r="C232" t="str">
        <f>IF(B232="western",randomselection(Ingredient!$A$2:$A$18),IF(B232="asian",randomselection(Ingredient!$B$2:$B$18),IF(B232="fusion",randomselection(Ingredient!$C$2:$C$18),IF(B232="asian",randomselection(Ingredient!$B$2:$B$18),IF(B232="vegetable",randomselection(Ingredient!$D$2:$D$18),randomselection(Ingredient!$E$2:$E$18))))))</f>
        <v>corned beef</v>
      </c>
      <c r="D232" t="str">
        <f>VLOOKUP(IngredientGenerator!C232,Ingredient!$A$21:$F$111,2,FALSE)</f>
        <v>can</v>
      </c>
      <c r="E232" t="s">
        <v>112</v>
      </c>
      <c r="F232" t="str">
        <f t="shared" si="3"/>
        <v>corned beef is a very nice food and beverage category that is categorized under western cuisine</v>
      </c>
      <c r="G232">
        <f>VLOOKUP(IngredientGenerator!C232,Ingredient!$A$21:$F$111,6,FALSE)</f>
        <v>5.0999999999999996</v>
      </c>
    </row>
    <row r="233" spans="1:7" x14ac:dyDescent="0.25">
      <c r="A233">
        <v>57</v>
      </c>
      <c r="B233" t="s">
        <v>116</v>
      </c>
      <c r="C233" t="str">
        <f>IF(B233="western",randomselection(Ingredient!$A$2:$A$18),IF(B233="asian",randomselection(Ingredient!$B$2:$B$18),IF(B233="fusion",randomselection(Ingredient!$C$2:$C$18),IF(B233="asian",randomselection(Ingredient!$B$2:$B$18),IF(B233="vegetable",randomselection(Ingredient!$D$2:$D$18),randomselection(Ingredient!$E$2:$E$18))))))</f>
        <v>broccoli</v>
      </c>
      <c r="D233" t="str">
        <f>VLOOKUP(IngredientGenerator!C233,Ingredient!$A$21:$F$111,2,FALSE)</f>
        <v>package</v>
      </c>
      <c r="E233" t="s">
        <v>116</v>
      </c>
      <c r="F233" t="str">
        <f t="shared" si="3"/>
        <v>broccoli is a very nice food and beverage category that is categorized under beverage cuisine</v>
      </c>
      <c r="G233">
        <f>VLOOKUP(IngredientGenerator!C233,Ingredient!$A$21:$F$111,6,FALSE)</f>
        <v>1.5</v>
      </c>
    </row>
    <row r="234" spans="1:7" x14ac:dyDescent="0.25">
      <c r="A234">
        <v>58</v>
      </c>
      <c r="B234" t="s">
        <v>112</v>
      </c>
      <c r="C234" t="str">
        <f>IF(B234="western",randomselection(Ingredient!$A$2:$A$18),IF(B234="asian",randomselection(Ingredient!$B$2:$B$18),IF(B234="fusion",randomselection(Ingredient!$C$2:$C$18),IF(B234="asian",randomselection(Ingredient!$B$2:$B$18),IF(B234="vegetable",randomselection(Ingredient!$D$2:$D$18),randomselection(Ingredient!$E$2:$E$18))))))</f>
        <v>ale</v>
      </c>
      <c r="D234" t="str">
        <f>VLOOKUP(IngredientGenerator!C234,Ingredient!$A$21:$F$111,2,FALSE)</f>
        <v>package</v>
      </c>
      <c r="E234" t="s">
        <v>112</v>
      </c>
      <c r="F234" t="str">
        <f t="shared" si="3"/>
        <v>ale is a very nice food and beverage category that is categorized under western cuisine</v>
      </c>
      <c r="G234">
        <f>VLOOKUP(IngredientGenerator!C234,Ingredient!$A$21:$F$111,6,FALSE)</f>
        <v>2.2999999999999998</v>
      </c>
    </row>
    <row r="235" spans="1:7" x14ac:dyDescent="0.25">
      <c r="A235">
        <v>59</v>
      </c>
      <c r="B235" t="s">
        <v>112</v>
      </c>
      <c r="C235" t="str">
        <f>IF(B235="western",randomselection(Ingredient!$A$2:$A$18),IF(B235="asian",randomselection(Ingredient!$B$2:$B$18),IF(B235="fusion",randomselection(Ingredient!$C$2:$C$18),IF(B235="asian",randomselection(Ingredient!$B$2:$B$18),IF(B235="vegetable",randomselection(Ingredient!$D$2:$D$18),randomselection(Ingredient!$E$2:$E$18))))))</f>
        <v>french fries</v>
      </c>
      <c r="D235" t="str">
        <f>VLOOKUP(IngredientGenerator!C235,Ingredient!$A$21:$F$111,2,FALSE)</f>
        <v>package</v>
      </c>
      <c r="E235" t="s">
        <v>112</v>
      </c>
      <c r="F235" t="str">
        <f t="shared" si="3"/>
        <v>french fries is a very nice food and beverage category that is categorized under western cuisine</v>
      </c>
      <c r="G235">
        <f>VLOOKUP(IngredientGenerator!C235,Ingredient!$A$21:$F$111,6,FALSE)</f>
        <v>2.2000000000000002</v>
      </c>
    </row>
    <row r="236" spans="1:7" x14ac:dyDescent="0.25">
      <c r="A236">
        <v>60</v>
      </c>
      <c r="B236" t="s">
        <v>113</v>
      </c>
      <c r="C236" t="str">
        <f>IF(B236="western",randomselection(Ingredient!$A$2:$A$18),IF(B236="asian",randomselection(Ingredient!$B$2:$B$18),IF(B236="fusion",randomselection(Ingredient!$C$2:$C$18),IF(B236="asian",randomselection(Ingredient!$B$2:$B$18),IF(B236="vegetable",randomselection(Ingredient!$D$2:$D$18),randomselection(Ingredient!$E$2:$E$18))))))</f>
        <v>liver</v>
      </c>
      <c r="D236" t="str">
        <f>VLOOKUP(IngredientGenerator!C236,Ingredient!$A$21:$F$111,2,FALSE)</f>
        <v>piece</v>
      </c>
      <c r="E236" t="s">
        <v>113</v>
      </c>
      <c r="F236" t="str">
        <f t="shared" si="3"/>
        <v>liver is a very nice food and beverage category that is categorized under asian cuisine</v>
      </c>
      <c r="G236">
        <f>VLOOKUP(IngredientGenerator!C236,Ingredient!$A$21:$F$111,6,FALSE)</f>
        <v>4.5</v>
      </c>
    </row>
    <row r="237" spans="1:7" x14ac:dyDescent="0.25">
      <c r="A237">
        <v>61</v>
      </c>
      <c r="B237" t="s">
        <v>113</v>
      </c>
      <c r="C237" t="str">
        <f>IF(B237="western",randomselection(Ingredient!$A$2:$A$18),IF(B237="asian",randomselection(Ingredient!$B$2:$B$18),IF(B237="fusion",randomselection(Ingredient!$C$2:$C$18),IF(B237="asian",randomselection(Ingredient!$B$2:$B$18),IF(B237="vegetable",randomselection(Ingredient!$D$2:$D$18),randomselection(Ingredient!$E$2:$E$18))))))</f>
        <v>cornmeal</v>
      </c>
      <c r="D237" t="str">
        <f>VLOOKUP(IngredientGenerator!C237,Ingredient!$A$21:$F$111,2,FALSE)</f>
        <v>can</v>
      </c>
      <c r="E237" t="s">
        <v>113</v>
      </c>
      <c r="F237" t="str">
        <f t="shared" si="3"/>
        <v>cornmeal is a very nice food and beverage category that is categorized under asian cuisine</v>
      </c>
      <c r="G237">
        <f>VLOOKUP(IngredientGenerator!C237,Ingredient!$A$21:$F$111,6,FALSE)</f>
        <v>2.1</v>
      </c>
    </row>
    <row r="238" spans="1:7" x14ac:dyDescent="0.25">
      <c r="A238">
        <v>62</v>
      </c>
      <c r="B238" t="s">
        <v>112</v>
      </c>
      <c r="C238" t="str">
        <f>IF(B238="western",randomselection(Ingredient!$A$2:$A$18),IF(B238="asian",randomselection(Ingredient!$B$2:$B$18),IF(B238="fusion",randomselection(Ingredient!$C$2:$C$18),IF(B238="asian",randomselection(Ingredient!$B$2:$B$18),IF(B238="vegetable",randomselection(Ingredient!$D$2:$D$18),randomselection(Ingredient!$E$2:$E$18))))))</f>
        <v>hamburger</v>
      </c>
      <c r="D238" t="str">
        <f>VLOOKUP(IngredientGenerator!C238,Ingredient!$A$21:$F$111,2,FALSE)</f>
        <v>piece</v>
      </c>
      <c r="E238" t="s">
        <v>112</v>
      </c>
      <c r="F238" t="str">
        <f t="shared" si="3"/>
        <v>hamburger is a very nice food and beverage category that is categorized under western cuisine</v>
      </c>
      <c r="G238">
        <f>VLOOKUP(IngredientGenerator!C238,Ingredient!$A$21:$F$111,6,FALSE)</f>
        <v>1.1000000000000001</v>
      </c>
    </row>
    <row r="239" spans="1:7" x14ac:dyDescent="0.25">
      <c r="A239">
        <v>63</v>
      </c>
      <c r="B239" t="s">
        <v>116</v>
      </c>
      <c r="C239" t="str">
        <f>IF(B239="western",randomselection(Ingredient!$A$2:$A$18),IF(B239="asian",randomselection(Ingredient!$B$2:$B$18),IF(B239="fusion",randomselection(Ingredient!$C$2:$C$18),IF(B239="asian",randomselection(Ingredient!$B$2:$B$18),IF(B239="vegetable",randomselection(Ingredient!$D$2:$D$18),randomselection(Ingredient!$E$2:$E$18))))))</f>
        <v>bay leaves</v>
      </c>
      <c r="D239" t="str">
        <f>VLOOKUP(IngredientGenerator!C239,Ingredient!$A$21:$F$111,2,FALSE)</f>
        <v>can</v>
      </c>
      <c r="E239" t="s">
        <v>116</v>
      </c>
      <c r="F239" t="str">
        <f t="shared" si="3"/>
        <v>bay leaves is a very nice food and beverage category that is categorized under beverage cuisine</v>
      </c>
      <c r="G239">
        <f>VLOOKUP(IngredientGenerator!C239,Ingredient!$A$21:$F$111,6,FALSE)</f>
        <v>2</v>
      </c>
    </row>
    <row r="240" spans="1:7" x14ac:dyDescent="0.25">
      <c r="A240">
        <v>64</v>
      </c>
      <c r="B240" t="s">
        <v>112</v>
      </c>
      <c r="C240" t="str">
        <f>IF(B240="western",randomselection(Ingredient!$A$2:$A$18),IF(B240="asian",randomselection(Ingredient!$B$2:$B$18),IF(B240="fusion",randomselection(Ingredient!$C$2:$C$18),IF(B240="asian",randomselection(Ingredient!$B$2:$B$18),IF(B240="vegetable",randomselection(Ingredient!$D$2:$D$18),randomselection(Ingredient!$E$2:$E$18))))))</f>
        <v>sauerkraut</v>
      </c>
      <c r="D240" t="str">
        <f>VLOOKUP(IngredientGenerator!C240,Ingredient!$A$21:$F$111,2,FALSE)</f>
        <v>can</v>
      </c>
      <c r="E240" t="s">
        <v>112</v>
      </c>
      <c r="F240" t="str">
        <f t="shared" si="3"/>
        <v>sauerkraut is a very nice food and beverage category that is categorized under western cuisine</v>
      </c>
      <c r="G240">
        <f>VLOOKUP(IngredientGenerator!C240,Ingredient!$A$21:$F$111,6,FALSE)</f>
        <v>4</v>
      </c>
    </row>
    <row r="241" spans="1:7" x14ac:dyDescent="0.25">
      <c r="A241">
        <v>65</v>
      </c>
      <c r="B241" t="s">
        <v>112</v>
      </c>
      <c r="C241" t="str">
        <f>IF(B241="western",randomselection(Ingredient!$A$2:$A$18),IF(B241="asian",randomselection(Ingredient!$B$2:$B$18),IF(B241="fusion",randomselection(Ingredient!$C$2:$C$18),IF(B241="asian",randomselection(Ingredient!$B$2:$B$18),IF(B241="vegetable",randomselection(Ingredient!$D$2:$D$18),randomselection(Ingredient!$E$2:$E$18))))))</f>
        <v>steak</v>
      </c>
      <c r="D241" t="str">
        <f>VLOOKUP(IngredientGenerator!C241,Ingredient!$A$21:$F$111,2,FALSE)</f>
        <v>piece</v>
      </c>
      <c r="E241" t="s">
        <v>112</v>
      </c>
      <c r="F241" t="str">
        <f t="shared" si="3"/>
        <v>steak is a very nice food and beverage category that is categorized under western cuisine</v>
      </c>
      <c r="G241">
        <f>VLOOKUP(IngredientGenerator!C241,Ingredient!$A$21:$F$111,6,FALSE)</f>
        <v>4.5</v>
      </c>
    </row>
    <row r="242" spans="1:7" x14ac:dyDescent="0.25">
      <c r="A242">
        <v>6</v>
      </c>
      <c r="B242" t="s">
        <v>112</v>
      </c>
      <c r="C242" t="str">
        <f>IF(B242="western",randomselection(Ingredient!$A$2:$A$18),IF(B242="asian",randomselection(Ingredient!$B$2:$B$18),IF(B242="fusion",randomselection(Ingredient!$C$2:$C$18),IF(B242="asian",randomselection(Ingredient!$B$2:$B$18),IF(B242="vegetable",randomselection(Ingredient!$D$2:$D$18),randomselection(Ingredient!$E$2:$E$18))))))</f>
        <v>spaghetti squash</v>
      </c>
      <c r="D242" t="str">
        <f>VLOOKUP(IngredientGenerator!C242,Ingredient!$A$21:$F$111,2,FALSE)</f>
        <v>package</v>
      </c>
      <c r="E242" t="s">
        <v>112</v>
      </c>
      <c r="F242" t="str">
        <f t="shared" si="3"/>
        <v>spaghetti squash is a very nice food and beverage category that is categorized under western cuisine</v>
      </c>
      <c r="G242">
        <f>VLOOKUP(IngredientGenerator!C242,Ingredient!$A$21:$F$111,6,FALSE)</f>
        <v>5</v>
      </c>
    </row>
    <row r="243" spans="1:7" x14ac:dyDescent="0.25">
      <c r="A243">
        <v>7</v>
      </c>
      <c r="B243" t="s">
        <v>113</v>
      </c>
      <c r="C243" t="str">
        <f>IF(B243="western",randomselection(Ingredient!$A$2:$A$18),IF(B243="asian",randomselection(Ingredient!$B$2:$B$18),IF(B243="fusion",randomselection(Ingredient!$C$2:$C$18),IF(B243="asian",randomselection(Ingredient!$B$2:$B$18),IF(B243="vegetable",randomselection(Ingredient!$D$2:$D$18),randomselection(Ingredient!$E$2:$E$18))))))</f>
        <v>blue cheese</v>
      </c>
      <c r="D243" t="str">
        <f>VLOOKUP(IngredientGenerator!C243,Ingredient!$A$21:$F$111,2,FALSE)</f>
        <v>package</v>
      </c>
      <c r="E243" t="s">
        <v>113</v>
      </c>
      <c r="F243" t="str">
        <f t="shared" si="3"/>
        <v>blue cheese is a very nice food and beverage category that is categorized under asian cuisine</v>
      </c>
      <c r="G243">
        <f>VLOOKUP(IngredientGenerator!C243,Ingredient!$A$21:$F$111,6,FALSE)</f>
        <v>10.8</v>
      </c>
    </row>
    <row r="244" spans="1:7" x14ac:dyDescent="0.25">
      <c r="A244">
        <v>8</v>
      </c>
      <c r="B244" t="s">
        <v>114</v>
      </c>
      <c r="C244" t="str">
        <f>IF(B244="western",randomselection(Ingredient!$A$2:$A$18),IF(B244="asian",randomselection(Ingredient!$B$2:$B$18),IF(B244="fusion",randomselection(Ingredient!$C$2:$C$18),IF(B244="asian",randomselection(Ingredient!$B$2:$B$18),IF(B244="vegetable",randomselection(Ingredient!$D$2:$D$18),randomselection(Ingredient!$E$2:$E$18))))))</f>
        <v>provolone</v>
      </c>
      <c r="D244" t="str">
        <f>VLOOKUP(IngredientGenerator!C244,Ingredient!$A$21:$F$111,2,FALSE)</f>
        <v>package</v>
      </c>
      <c r="E244" t="s">
        <v>114</v>
      </c>
      <c r="F244" t="str">
        <f t="shared" si="3"/>
        <v>provolone is a very nice food and beverage category that is categorized under fusion cuisine</v>
      </c>
      <c r="G244">
        <f>VLOOKUP(IngredientGenerator!C244,Ingredient!$A$21:$F$111,6,FALSE)</f>
        <v>1.2</v>
      </c>
    </row>
    <row r="245" spans="1:7" x14ac:dyDescent="0.25">
      <c r="A245">
        <v>9</v>
      </c>
      <c r="B245" t="s">
        <v>114</v>
      </c>
      <c r="C245" t="str">
        <f>IF(B245="western",randomselection(Ingredient!$A$2:$A$18),IF(B245="asian",randomselection(Ingredient!$B$2:$B$18),IF(B245="fusion",randomselection(Ingredient!$C$2:$C$18),IF(B245="asian",randomselection(Ingredient!$B$2:$B$18),IF(B245="vegetable",randomselection(Ingredient!$D$2:$D$18),randomselection(Ingredient!$E$2:$E$18))))))</f>
        <v>spearmint</v>
      </c>
      <c r="D245" t="str">
        <f>VLOOKUP(IngredientGenerator!C245,Ingredient!$A$21:$F$111,2,FALSE)</f>
        <v>package</v>
      </c>
      <c r="E245" t="s">
        <v>114</v>
      </c>
      <c r="F245" t="str">
        <f t="shared" si="3"/>
        <v>spearmint is a very nice food and beverage category that is categorized under fusion cuisine</v>
      </c>
      <c r="G245">
        <f>VLOOKUP(IngredientGenerator!C245,Ingredient!$A$21:$F$111,6,FALSE)</f>
        <v>4</v>
      </c>
    </row>
    <row r="246" spans="1:7" x14ac:dyDescent="0.25">
      <c r="A246">
        <v>10</v>
      </c>
      <c r="B246" t="s">
        <v>115</v>
      </c>
      <c r="C246" t="str">
        <f>IF(B246="western",randomselection(Ingredient!$A$2:$A$18),IF(B246="asian",randomselection(Ingredient!$B$2:$B$18),IF(B246="fusion",randomselection(Ingredient!$C$2:$C$18),IF(B246="asian",randomselection(Ingredient!$B$2:$B$18),IF(B246="vegetable",randomselection(Ingredient!$D$2:$D$18),randomselection(Ingredient!$E$2:$E$18))))))</f>
        <v>sesame seeds</v>
      </c>
      <c r="D246" t="str">
        <f>VLOOKUP(IngredientGenerator!C246,Ingredient!$A$21:$F$111,2,FALSE)</f>
        <v>package</v>
      </c>
      <c r="E246" t="s">
        <v>115</v>
      </c>
      <c r="F246" t="str">
        <f t="shared" si="3"/>
        <v>sesame seeds is a very nice food and beverage category that is categorized under vegetable cuisine</v>
      </c>
      <c r="G246">
        <f>VLOOKUP(IngredientGenerator!C246,Ingredient!$A$21:$F$111,6,FALSE)</f>
        <v>5.3</v>
      </c>
    </row>
    <row r="247" spans="1:7" x14ac:dyDescent="0.25">
      <c r="A247">
        <v>11</v>
      </c>
      <c r="B247" t="s">
        <v>116</v>
      </c>
      <c r="C247" t="str">
        <f>IF(B247="western",randomselection(Ingredient!$A$2:$A$18),IF(B247="asian",randomselection(Ingredient!$B$2:$B$18),IF(B247="fusion",randomselection(Ingredient!$C$2:$C$18),IF(B247="asian",randomselection(Ingredient!$B$2:$B$18),IF(B247="vegetable",randomselection(Ingredient!$D$2:$D$18),randomselection(Ingredient!$E$2:$E$18))))))</f>
        <v>fennel</v>
      </c>
      <c r="D247" t="str">
        <f>VLOOKUP(IngredientGenerator!C247,Ingredient!$A$21:$F$111,2,FALSE)</f>
        <v>can</v>
      </c>
      <c r="E247" t="s">
        <v>116</v>
      </c>
      <c r="F247" t="str">
        <f t="shared" si="3"/>
        <v>fennel is a very nice food and beverage category that is categorized under beverage cuisine</v>
      </c>
      <c r="G247">
        <f>VLOOKUP(IngredientGenerator!C247,Ingredient!$A$21:$F$111,6,FALSE)</f>
        <v>4</v>
      </c>
    </row>
    <row r="248" spans="1:7" x14ac:dyDescent="0.25">
      <c r="A248">
        <v>12</v>
      </c>
      <c r="B248" t="s">
        <v>116</v>
      </c>
      <c r="C248" t="str">
        <f>IF(B248="western",randomselection(Ingredient!$A$2:$A$18),IF(B248="asian",randomselection(Ingredient!$B$2:$B$18),IF(B248="fusion",randomselection(Ingredient!$C$2:$C$18),IF(B248="asian",randomselection(Ingredient!$B$2:$B$18),IF(B248="vegetable",randomselection(Ingredient!$D$2:$D$18),randomselection(Ingredient!$E$2:$E$18))))))</f>
        <v>cooking wine</v>
      </c>
      <c r="D248" t="str">
        <f>VLOOKUP(IngredientGenerator!C248,Ingredient!$A$21:$F$111,2,FALSE)</f>
        <v>can</v>
      </c>
      <c r="E248" t="s">
        <v>116</v>
      </c>
      <c r="F248" t="str">
        <f t="shared" si="3"/>
        <v>cooking wine is a very nice food and beverage category that is categorized under beverage cuisine</v>
      </c>
      <c r="G248">
        <f>VLOOKUP(IngredientGenerator!C248,Ingredient!$A$21:$F$111,6,FALSE)</f>
        <v>2.4</v>
      </c>
    </row>
    <row r="249" spans="1:7" x14ac:dyDescent="0.25">
      <c r="A249">
        <v>13</v>
      </c>
      <c r="B249" t="s">
        <v>116</v>
      </c>
      <c r="C249" t="str">
        <f>IF(B249="western",randomselection(Ingredient!$A$2:$A$18),IF(B249="asian",randomselection(Ingredient!$B$2:$B$18),IF(B249="fusion",randomselection(Ingredient!$C$2:$C$18),IF(B249="asian",randomselection(Ingredient!$B$2:$B$18),IF(B249="vegetable",randomselection(Ingredient!$D$2:$D$18),randomselection(Ingredient!$E$2:$E$18))))))</f>
        <v>broccoli</v>
      </c>
      <c r="D249" t="str">
        <f>VLOOKUP(IngredientGenerator!C249,Ingredient!$A$21:$F$111,2,FALSE)</f>
        <v>package</v>
      </c>
      <c r="E249" t="s">
        <v>116</v>
      </c>
      <c r="F249" t="str">
        <f t="shared" si="3"/>
        <v>broccoli is a very nice food and beverage category that is categorized under beverage cuisine</v>
      </c>
      <c r="G249">
        <f>VLOOKUP(IngredientGenerator!C249,Ingredient!$A$21:$F$111,6,FALSE)</f>
        <v>1.5</v>
      </c>
    </row>
    <row r="250" spans="1:7" x14ac:dyDescent="0.25">
      <c r="A250">
        <v>14</v>
      </c>
      <c r="B250" t="s">
        <v>113</v>
      </c>
      <c r="C250" t="str">
        <f>IF(B250="western",randomselection(Ingredient!$A$2:$A$18),IF(B250="asian",randomselection(Ingredient!$B$2:$B$18),IF(B250="fusion",randomselection(Ingredient!$C$2:$C$18),IF(B250="asian",randomselection(Ingredient!$B$2:$B$18),IF(B250="vegetable",randomselection(Ingredient!$D$2:$D$18),randomselection(Ingredient!$E$2:$E$18))))))</f>
        <v>gelatin</v>
      </c>
      <c r="D250" t="str">
        <f>VLOOKUP(IngredientGenerator!C250,Ingredient!$A$21:$F$111,2,FALSE)</f>
        <v>can</v>
      </c>
      <c r="E250" t="s">
        <v>113</v>
      </c>
      <c r="F250" t="str">
        <f t="shared" si="3"/>
        <v>gelatin is a very nice food and beverage category that is categorized under asian cuisine</v>
      </c>
      <c r="G250">
        <f>VLOOKUP(IngredientGenerator!C250,Ingredient!$A$21:$F$111,6,FALSE)</f>
        <v>2</v>
      </c>
    </row>
    <row r="251" spans="1:7" x14ac:dyDescent="0.25">
      <c r="A251">
        <v>15</v>
      </c>
      <c r="B251" t="s">
        <v>116</v>
      </c>
      <c r="C251" t="str">
        <f>IF(B251="western",randomselection(Ingredient!$A$2:$A$18),IF(B251="asian",randomselection(Ingredient!$B$2:$B$18),IF(B251="fusion",randomselection(Ingredient!$C$2:$C$18),IF(B251="asian",randomselection(Ingredient!$B$2:$B$18),IF(B251="vegetable",randomselection(Ingredient!$D$2:$D$18),randomselection(Ingredient!$E$2:$E$18))))))</f>
        <v>cayenne pepper</v>
      </c>
      <c r="D251" t="str">
        <f>VLOOKUP(IngredientGenerator!C251,Ingredient!$A$21:$F$111,2,FALSE)</f>
        <v>can</v>
      </c>
      <c r="E251" t="s">
        <v>116</v>
      </c>
      <c r="F251" t="str">
        <f t="shared" si="3"/>
        <v>cayenne pepper is a very nice food and beverage category that is categorized under beverage cuisine</v>
      </c>
      <c r="G251">
        <f>VLOOKUP(IngredientGenerator!C251,Ingredient!$A$21:$F$111,6,FALSE)</f>
        <v>3.1</v>
      </c>
    </row>
    <row r="252" spans="1:7" x14ac:dyDescent="0.25">
      <c r="A252">
        <v>16</v>
      </c>
      <c r="B252" t="s">
        <v>114</v>
      </c>
      <c r="C252" t="str">
        <f>IF(B252="western",randomselection(Ingredient!$A$2:$A$18),IF(B252="asian",randomselection(Ingredient!$B$2:$B$18),IF(B252="fusion",randomselection(Ingredient!$C$2:$C$18),IF(B252="asian",randomselection(Ingredient!$B$2:$B$18),IF(B252="vegetable",randomselection(Ingredient!$D$2:$D$18),randomselection(Ingredient!$E$2:$E$18))))))</f>
        <v>ricotta cheese</v>
      </c>
      <c r="D252" t="str">
        <f>VLOOKUP(IngredientGenerator!C252,Ingredient!$A$21:$F$111,2,FALSE)</f>
        <v>package</v>
      </c>
      <c r="E252" t="s">
        <v>114</v>
      </c>
      <c r="F252" t="str">
        <f t="shared" si="3"/>
        <v>ricotta cheese is a very nice food and beverage category that is categorized under fusion cuisine</v>
      </c>
      <c r="G252">
        <f>VLOOKUP(IngredientGenerator!C252,Ingredient!$A$21:$F$111,6,FALSE)</f>
        <v>1.4</v>
      </c>
    </row>
    <row r="253" spans="1:7" x14ac:dyDescent="0.25">
      <c r="A253">
        <v>17</v>
      </c>
      <c r="B253" t="s">
        <v>113</v>
      </c>
      <c r="C253" t="str">
        <f>IF(B253="western",randomselection(Ingredient!$A$2:$A$18),IF(B253="asian",randomselection(Ingredient!$B$2:$B$18),IF(B253="fusion",randomselection(Ingredient!$C$2:$C$18),IF(B253="asian",randomselection(Ingredient!$B$2:$B$18),IF(B253="vegetable",randomselection(Ingredient!$D$2:$D$18),randomselection(Ingredient!$E$2:$E$18))))))</f>
        <v>blue cheese</v>
      </c>
      <c r="D253" t="str">
        <f>VLOOKUP(IngredientGenerator!C253,Ingredient!$A$21:$F$111,2,FALSE)</f>
        <v>package</v>
      </c>
      <c r="E253" t="s">
        <v>113</v>
      </c>
      <c r="F253" t="str">
        <f t="shared" si="3"/>
        <v>blue cheese is a very nice food and beverage category that is categorized under asian cuisine</v>
      </c>
      <c r="G253">
        <f>VLOOKUP(IngredientGenerator!C253,Ingredient!$A$21:$F$111,6,FALSE)</f>
        <v>10.8</v>
      </c>
    </row>
    <row r="254" spans="1:7" x14ac:dyDescent="0.25">
      <c r="A254">
        <v>18</v>
      </c>
      <c r="B254" t="s">
        <v>114</v>
      </c>
      <c r="C254" t="str">
        <f>IF(B254="western",randomselection(Ingredient!$A$2:$A$18),IF(B254="asian",randomselection(Ingredient!$B$2:$B$18),IF(B254="fusion",randomselection(Ingredient!$C$2:$C$18),IF(B254="asian",randomselection(Ingredient!$B$2:$B$18),IF(B254="vegetable",randomselection(Ingredient!$D$2:$D$18),randomselection(Ingredient!$E$2:$E$18))))))</f>
        <v>plantains</v>
      </c>
      <c r="D254" t="str">
        <f>VLOOKUP(IngredientGenerator!C254,Ingredient!$A$21:$F$111,2,FALSE)</f>
        <v>can</v>
      </c>
      <c r="E254" t="s">
        <v>114</v>
      </c>
      <c r="F254" t="str">
        <f t="shared" si="3"/>
        <v>plantains is a very nice food and beverage category that is categorized under fusion cuisine</v>
      </c>
      <c r="G254">
        <f>VLOOKUP(IngredientGenerator!C254,Ingredient!$A$21:$F$111,6,FALSE)</f>
        <v>3.5</v>
      </c>
    </row>
    <row r="255" spans="1:7" x14ac:dyDescent="0.25">
      <c r="A255">
        <v>19</v>
      </c>
      <c r="B255" t="s">
        <v>114</v>
      </c>
      <c r="C255" t="str">
        <f>IF(B255="western",randomselection(Ingredient!$A$2:$A$18),IF(B255="asian",randomselection(Ingredient!$B$2:$B$18),IF(B255="fusion",randomselection(Ingredient!$C$2:$C$18),IF(B255="asian",randomselection(Ingredient!$B$2:$B$18),IF(B255="vegetable",randomselection(Ingredient!$D$2:$D$18),randomselection(Ingredient!$E$2:$E$18))))))</f>
        <v>cottage cheese</v>
      </c>
      <c r="D255" t="str">
        <f>VLOOKUP(IngredientGenerator!C255,Ingredient!$A$21:$F$111,2,FALSE)</f>
        <v>package</v>
      </c>
      <c r="E255" t="s">
        <v>114</v>
      </c>
      <c r="F255" t="str">
        <f t="shared" si="3"/>
        <v>cottage cheese is a very nice food and beverage category that is categorized under fusion cuisine</v>
      </c>
      <c r="G255">
        <f>VLOOKUP(IngredientGenerator!C255,Ingredient!$A$21:$F$111,6,FALSE)</f>
        <v>3.1</v>
      </c>
    </row>
    <row r="256" spans="1:7" x14ac:dyDescent="0.25">
      <c r="A256">
        <v>20</v>
      </c>
      <c r="B256" t="s">
        <v>114</v>
      </c>
      <c r="C256" t="str">
        <f>IF(B256="western",randomselection(Ingredient!$A$2:$A$18),IF(B256="asian",randomselection(Ingredient!$B$2:$B$18),IF(B256="fusion",randomselection(Ingredient!$C$2:$C$18),IF(B256="asian",randomselection(Ingredient!$B$2:$B$18),IF(B256="vegetable",randomselection(Ingredient!$D$2:$D$18),randomselection(Ingredient!$E$2:$E$18))))))</f>
        <v>ricotta cheese</v>
      </c>
      <c r="D256" t="str">
        <f>VLOOKUP(IngredientGenerator!C256,Ingredient!$A$21:$F$111,2,FALSE)</f>
        <v>package</v>
      </c>
      <c r="E256" t="s">
        <v>114</v>
      </c>
      <c r="F256" t="str">
        <f t="shared" si="3"/>
        <v>ricotta cheese is a very nice food and beverage category that is categorized under fusion cuisine</v>
      </c>
      <c r="G256">
        <f>VLOOKUP(IngredientGenerator!C256,Ingredient!$A$21:$F$111,6,FALSE)</f>
        <v>1.4</v>
      </c>
    </row>
    <row r="257" spans="1:7" x14ac:dyDescent="0.25">
      <c r="A257">
        <v>21</v>
      </c>
      <c r="B257" t="s">
        <v>113</v>
      </c>
      <c r="C257" t="str">
        <f>IF(B257="western",randomselection(Ingredient!$A$2:$A$18),IF(B257="asian",randomselection(Ingredient!$B$2:$B$18),IF(B257="fusion",randomselection(Ingredient!$C$2:$C$18),IF(B257="asian",randomselection(Ingredient!$B$2:$B$18),IF(B257="vegetable",randomselection(Ingredient!$D$2:$D$18),randomselection(Ingredient!$E$2:$E$18))))))</f>
        <v>lettuce</v>
      </c>
      <c r="D257" t="str">
        <f>VLOOKUP(IngredientGenerator!C257,Ingredient!$A$21:$F$111,2,FALSE)</f>
        <v>package</v>
      </c>
      <c r="E257" t="s">
        <v>113</v>
      </c>
      <c r="F257" t="str">
        <f t="shared" si="3"/>
        <v>lettuce is a very nice food and beverage category that is categorized under asian cuisine</v>
      </c>
      <c r="G257">
        <f>VLOOKUP(IngredientGenerator!C257,Ingredient!$A$21:$F$111,6,FALSE)</f>
        <v>2.6</v>
      </c>
    </row>
    <row r="258" spans="1:7" x14ac:dyDescent="0.25">
      <c r="A258">
        <v>22</v>
      </c>
      <c r="B258" t="s">
        <v>116</v>
      </c>
      <c r="C258" t="str">
        <f>IF(B258="western",randomselection(Ingredient!$A$2:$A$18),IF(B258="asian",randomselection(Ingredient!$B$2:$B$18),IF(B258="fusion",randomselection(Ingredient!$C$2:$C$18),IF(B258="asian",randomselection(Ingredient!$B$2:$B$18),IF(B258="vegetable",randomselection(Ingredient!$D$2:$D$18),randomselection(Ingredient!$E$2:$E$18))))))</f>
        <v>broccoli</v>
      </c>
      <c r="D258" t="str">
        <f>VLOOKUP(IngredientGenerator!C258,Ingredient!$A$21:$F$111,2,FALSE)</f>
        <v>package</v>
      </c>
      <c r="E258" t="s">
        <v>116</v>
      </c>
      <c r="F258" t="str">
        <f t="shared" ref="F258:F321" si="4">CONCATENATE(C258," is a very nice food and beverage category that is categorized under ",E258," cuisine")</f>
        <v>broccoli is a very nice food and beverage category that is categorized under beverage cuisine</v>
      </c>
      <c r="G258">
        <f>VLOOKUP(IngredientGenerator!C258,Ingredient!$A$21:$F$111,6,FALSE)</f>
        <v>1.5</v>
      </c>
    </row>
    <row r="259" spans="1:7" x14ac:dyDescent="0.25">
      <c r="A259">
        <v>23</v>
      </c>
      <c r="B259" t="s">
        <v>112</v>
      </c>
      <c r="C259" t="str">
        <f>IF(B259="western",randomselection(Ingredient!$A$2:$A$18),IF(B259="asian",randomselection(Ingredient!$B$2:$B$18),IF(B259="fusion",randomselection(Ingredient!$C$2:$C$18),IF(B259="asian",randomselection(Ingredient!$B$2:$B$18),IF(B259="vegetable",randomselection(Ingredient!$D$2:$D$18),randomselection(Ingredient!$E$2:$E$18))))))</f>
        <v>sauerkraut</v>
      </c>
      <c r="D259" t="str">
        <f>VLOOKUP(IngredientGenerator!C259,Ingredient!$A$21:$F$111,2,FALSE)</f>
        <v>can</v>
      </c>
      <c r="E259" t="s">
        <v>112</v>
      </c>
      <c r="F259" t="str">
        <f t="shared" si="4"/>
        <v>sauerkraut is a very nice food and beverage category that is categorized under western cuisine</v>
      </c>
      <c r="G259">
        <f>VLOOKUP(IngredientGenerator!C259,Ingredient!$A$21:$F$111,6,FALSE)</f>
        <v>4</v>
      </c>
    </row>
    <row r="260" spans="1:7" x14ac:dyDescent="0.25">
      <c r="A260">
        <v>24</v>
      </c>
      <c r="B260" t="s">
        <v>112</v>
      </c>
      <c r="C260" t="str">
        <f>IF(B260="western",randomselection(Ingredient!$A$2:$A$18),IF(B260="asian",randomselection(Ingredient!$B$2:$B$18),IF(B260="fusion",randomselection(Ingredient!$C$2:$C$18),IF(B260="asian",randomselection(Ingredient!$B$2:$B$18),IF(B260="vegetable",randomselection(Ingredient!$D$2:$D$18),randomselection(Ingredient!$E$2:$E$18))))))</f>
        <v>pasta</v>
      </c>
      <c r="D260" t="str">
        <f>VLOOKUP(IngredientGenerator!C260,Ingredient!$A$21:$F$111,2,FALSE)</f>
        <v>can</v>
      </c>
      <c r="E260" t="s">
        <v>112</v>
      </c>
      <c r="F260" t="str">
        <f t="shared" si="4"/>
        <v>pasta is a very nice food and beverage category that is categorized under western cuisine</v>
      </c>
      <c r="G260">
        <f>VLOOKUP(IngredientGenerator!C260,Ingredient!$A$21:$F$111,6,FALSE)</f>
        <v>3</v>
      </c>
    </row>
    <row r="261" spans="1:7" x14ac:dyDescent="0.25">
      <c r="A261">
        <v>25</v>
      </c>
      <c r="B261" t="s">
        <v>113</v>
      </c>
      <c r="C261" t="str">
        <f>IF(B261="western",randomselection(Ingredient!$A$2:$A$18),IF(B261="asian",randomselection(Ingredient!$B$2:$B$18),IF(B261="fusion",randomselection(Ingredient!$C$2:$C$18),IF(B261="asian",randomselection(Ingredient!$B$2:$B$18),IF(B261="vegetable",randomselection(Ingredient!$D$2:$D$18),randomselection(Ingredient!$E$2:$E$18))))))</f>
        <v>leeks</v>
      </c>
      <c r="D261" t="str">
        <f>VLOOKUP(IngredientGenerator!C261,Ingredient!$A$21:$F$111,2,FALSE)</f>
        <v>package</v>
      </c>
      <c r="E261" t="s">
        <v>113</v>
      </c>
      <c r="F261" t="str">
        <f t="shared" si="4"/>
        <v>leeks is a very nice food and beverage category that is categorized under asian cuisine</v>
      </c>
      <c r="G261">
        <f>VLOOKUP(IngredientGenerator!C261,Ingredient!$A$21:$F$111,6,FALSE)</f>
        <v>4.5999999999999996</v>
      </c>
    </row>
    <row r="262" spans="1:7" x14ac:dyDescent="0.25">
      <c r="A262">
        <v>26</v>
      </c>
      <c r="B262" t="s">
        <v>112</v>
      </c>
      <c r="C262" t="str">
        <f>IF(B262="western",randomselection(Ingredient!$A$2:$A$18),IF(B262="asian",randomselection(Ingredient!$B$2:$B$18),IF(B262="fusion",randomselection(Ingredient!$C$2:$C$18),IF(B262="asian",randomselection(Ingredient!$B$2:$B$18),IF(B262="vegetable",randomselection(Ingredient!$D$2:$D$18),randomselection(Ingredient!$E$2:$E$18))))))</f>
        <v>corned beef</v>
      </c>
      <c r="D262" t="str">
        <f>VLOOKUP(IngredientGenerator!C262,Ingredient!$A$21:$F$111,2,FALSE)</f>
        <v>can</v>
      </c>
      <c r="E262" t="s">
        <v>112</v>
      </c>
      <c r="F262" t="str">
        <f t="shared" si="4"/>
        <v>corned beef is a very nice food and beverage category that is categorized under western cuisine</v>
      </c>
      <c r="G262">
        <f>VLOOKUP(IngredientGenerator!C262,Ingredient!$A$21:$F$111,6,FALSE)</f>
        <v>5.0999999999999996</v>
      </c>
    </row>
    <row r="263" spans="1:7" x14ac:dyDescent="0.25">
      <c r="A263">
        <v>27</v>
      </c>
      <c r="B263" t="s">
        <v>112</v>
      </c>
      <c r="C263" t="str">
        <f>IF(B263="western",randomselection(Ingredient!$A$2:$A$18),IF(B263="asian",randomselection(Ingredient!$B$2:$B$18),IF(B263="fusion",randomselection(Ingredient!$C$2:$C$18),IF(B263="asian",randomselection(Ingredient!$B$2:$B$18),IF(B263="vegetable",randomselection(Ingredient!$D$2:$D$18),randomselection(Ingredient!$E$2:$E$18))))))</f>
        <v>sauerkraut</v>
      </c>
      <c r="D263" t="str">
        <f>VLOOKUP(IngredientGenerator!C263,Ingredient!$A$21:$F$111,2,FALSE)</f>
        <v>can</v>
      </c>
      <c r="E263" t="s">
        <v>112</v>
      </c>
      <c r="F263" t="str">
        <f t="shared" si="4"/>
        <v>sauerkraut is a very nice food and beverage category that is categorized under western cuisine</v>
      </c>
      <c r="G263">
        <f>VLOOKUP(IngredientGenerator!C263,Ingredient!$A$21:$F$111,6,FALSE)</f>
        <v>4</v>
      </c>
    </row>
    <row r="264" spans="1:7" x14ac:dyDescent="0.25">
      <c r="A264">
        <v>28</v>
      </c>
      <c r="B264" t="s">
        <v>114</v>
      </c>
      <c r="C264" t="str">
        <f>IF(B264="western",randomselection(Ingredient!$A$2:$A$18),IF(B264="asian",randomselection(Ingredient!$B$2:$B$18),IF(B264="fusion",randomselection(Ingredient!$C$2:$C$18),IF(B264="asian",randomselection(Ingredient!$B$2:$B$18),IF(B264="vegetable",randomselection(Ingredient!$D$2:$D$18),randomselection(Ingredient!$E$2:$E$18))))))</f>
        <v>cabbage</v>
      </c>
      <c r="D264" t="str">
        <f>VLOOKUP(IngredientGenerator!C264,Ingredient!$A$21:$F$111,2,FALSE)</f>
        <v>piece</v>
      </c>
      <c r="E264" t="s">
        <v>114</v>
      </c>
      <c r="F264" t="str">
        <f t="shared" si="4"/>
        <v>cabbage is a very nice food and beverage category that is categorized under fusion cuisine</v>
      </c>
      <c r="G264">
        <f>VLOOKUP(IngredientGenerator!C264,Ingredient!$A$21:$F$111,6,FALSE)</f>
        <v>4.9000000000000004</v>
      </c>
    </row>
    <row r="265" spans="1:7" x14ac:dyDescent="0.25">
      <c r="A265">
        <v>29</v>
      </c>
      <c r="B265" t="s">
        <v>114</v>
      </c>
      <c r="C265" t="str">
        <f>IF(B265="western",randomselection(Ingredient!$A$2:$A$18),IF(B265="asian",randomselection(Ingredient!$B$2:$B$18),IF(B265="fusion",randomselection(Ingredient!$C$2:$C$18),IF(B265="asian",randomselection(Ingredient!$B$2:$B$18),IF(B265="vegetable",randomselection(Ingredient!$D$2:$D$18),randomselection(Ingredient!$E$2:$E$18))))))</f>
        <v>cottage cheese</v>
      </c>
      <c r="D265" t="str">
        <f>VLOOKUP(IngredientGenerator!C265,Ingredient!$A$21:$F$111,2,FALSE)</f>
        <v>package</v>
      </c>
      <c r="E265" t="s">
        <v>114</v>
      </c>
      <c r="F265" t="str">
        <f t="shared" si="4"/>
        <v>cottage cheese is a very nice food and beverage category that is categorized under fusion cuisine</v>
      </c>
      <c r="G265">
        <f>VLOOKUP(IngredientGenerator!C265,Ingredient!$A$21:$F$111,6,FALSE)</f>
        <v>3.1</v>
      </c>
    </row>
    <row r="266" spans="1:7" x14ac:dyDescent="0.25">
      <c r="A266">
        <v>30</v>
      </c>
      <c r="B266" t="s">
        <v>116</v>
      </c>
      <c r="C266" t="str">
        <f>IF(B266="western",randomselection(Ingredient!$A$2:$A$18),IF(B266="asian",randomselection(Ingredient!$B$2:$B$18),IF(B266="fusion",randomselection(Ingredient!$C$2:$C$18),IF(B266="asian",randomselection(Ingredient!$B$2:$B$18),IF(B266="vegetable",randomselection(Ingredient!$D$2:$D$18),randomselection(Ingredient!$E$2:$E$18))))))</f>
        <v>cayenne pepper</v>
      </c>
      <c r="D266" t="str">
        <f>VLOOKUP(IngredientGenerator!C266,Ingredient!$A$21:$F$111,2,FALSE)</f>
        <v>can</v>
      </c>
      <c r="E266" t="s">
        <v>116</v>
      </c>
      <c r="F266" t="str">
        <f t="shared" si="4"/>
        <v>cayenne pepper is a very nice food and beverage category that is categorized under beverage cuisine</v>
      </c>
      <c r="G266">
        <f>VLOOKUP(IngredientGenerator!C266,Ingredient!$A$21:$F$111,6,FALSE)</f>
        <v>3.1</v>
      </c>
    </row>
    <row r="267" spans="1:7" x14ac:dyDescent="0.25">
      <c r="A267">
        <v>31</v>
      </c>
      <c r="B267" t="s">
        <v>116</v>
      </c>
      <c r="C267" t="str">
        <f>IF(B267="western",randomselection(Ingredient!$A$2:$A$18),IF(B267="asian",randomselection(Ingredient!$B$2:$B$18),IF(B267="fusion",randomselection(Ingredient!$C$2:$C$18),IF(B267="asian",randomselection(Ingredient!$B$2:$B$18),IF(B267="vegetable",randomselection(Ingredient!$D$2:$D$18),randomselection(Ingredient!$E$2:$E$18))))))</f>
        <v>chard</v>
      </c>
      <c r="D267" t="str">
        <f>VLOOKUP(IngredientGenerator!C267,Ingredient!$A$21:$F$111,2,FALSE)</f>
        <v>can</v>
      </c>
      <c r="E267" t="s">
        <v>116</v>
      </c>
      <c r="F267" t="str">
        <f t="shared" si="4"/>
        <v>chard is a very nice food and beverage category that is categorized under beverage cuisine</v>
      </c>
      <c r="G267">
        <f>VLOOKUP(IngredientGenerator!C267,Ingredient!$A$21:$F$111,6,FALSE)</f>
        <v>3.9</v>
      </c>
    </row>
    <row r="268" spans="1:7" x14ac:dyDescent="0.25">
      <c r="A268">
        <v>32</v>
      </c>
      <c r="B268" t="s">
        <v>114</v>
      </c>
      <c r="C268" t="str">
        <f>IF(B268="western",randomselection(Ingredient!$A$2:$A$18),IF(B268="asian",randomselection(Ingredient!$B$2:$B$18),IF(B268="fusion",randomselection(Ingredient!$C$2:$C$18),IF(B268="asian",randomselection(Ingredient!$B$2:$B$18),IF(B268="vegetable",randomselection(Ingredient!$D$2:$D$18),randomselection(Ingredient!$E$2:$E$18))))))</f>
        <v>provolone</v>
      </c>
      <c r="D268" t="str">
        <f>VLOOKUP(IngredientGenerator!C268,Ingredient!$A$21:$F$111,2,FALSE)</f>
        <v>package</v>
      </c>
      <c r="E268" t="s">
        <v>114</v>
      </c>
      <c r="F268" t="str">
        <f t="shared" si="4"/>
        <v>provolone is a very nice food and beverage category that is categorized under fusion cuisine</v>
      </c>
      <c r="G268">
        <f>VLOOKUP(IngredientGenerator!C268,Ingredient!$A$21:$F$111,6,FALSE)</f>
        <v>1.2</v>
      </c>
    </row>
    <row r="269" spans="1:7" x14ac:dyDescent="0.25">
      <c r="A269">
        <v>33</v>
      </c>
      <c r="B269" t="s">
        <v>112</v>
      </c>
      <c r="C269" t="str">
        <f>IF(B269="western",randomselection(Ingredient!$A$2:$A$18),IF(B269="asian",randomselection(Ingredient!$B$2:$B$18),IF(B269="fusion",randomselection(Ingredient!$C$2:$C$18),IF(B269="asian",randomselection(Ingredient!$B$2:$B$18),IF(B269="vegetable",randomselection(Ingredient!$D$2:$D$18),randomselection(Ingredient!$E$2:$E$18))))))</f>
        <v>ale</v>
      </c>
      <c r="D269" t="str">
        <f>VLOOKUP(IngredientGenerator!C269,Ingredient!$A$21:$F$111,2,FALSE)</f>
        <v>package</v>
      </c>
      <c r="E269" t="s">
        <v>112</v>
      </c>
      <c r="F269" t="str">
        <f t="shared" si="4"/>
        <v>ale is a very nice food and beverage category that is categorized under western cuisine</v>
      </c>
      <c r="G269">
        <f>VLOOKUP(IngredientGenerator!C269,Ingredient!$A$21:$F$111,6,FALSE)</f>
        <v>2.2999999999999998</v>
      </c>
    </row>
    <row r="270" spans="1:7" x14ac:dyDescent="0.25">
      <c r="A270">
        <v>34</v>
      </c>
      <c r="B270" t="s">
        <v>112</v>
      </c>
      <c r="C270" t="str">
        <f>IF(B270="western",randomselection(Ingredient!$A$2:$A$18),IF(B270="asian",randomselection(Ingredient!$B$2:$B$18),IF(B270="fusion",randomselection(Ingredient!$C$2:$C$18),IF(B270="asian",randomselection(Ingredient!$B$2:$B$18),IF(B270="vegetable",randomselection(Ingredient!$D$2:$D$18),randomselection(Ingredient!$E$2:$E$18))))))</f>
        <v>Canadian bacon</v>
      </c>
      <c r="D270" t="str">
        <f>VLOOKUP(IngredientGenerator!C270,Ingredient!$A$21:$F$111,2,FALSE)</f>
        <v>piece</v>
      </c>
      <c r="E270" t="s">
        <v>112</v>
      </c>
      <c r="F270" t="str">
        <f t="shared" si="4"/>
        <v>Canadian bacon is a very nice food and beverage category that is categorized under western cuisine</v>
      </c>
      <c r="G270">
        <f>VLOOKUP(IngredientGenerator!C270,Ingredient!$A$21:$F$111,6,FALSE)</f>
        <v>1.5</v>
      </c>
    </row>
    <row r="271" spans="1:7" x14ac:dyDescent="0.25">
      <c r="A271">
        <v>35</v>
      </c>
      <c r="B271" t="s">
        <v>113</v>
      </c>
      <c r="C271" t="str">
        <f>IF(B271="western",randomselection(Ingredient!$A$2:$A$18),IF(B271="asian",randomselection(Ingredient!$B$2:$B$18),IF(B271="fusion",randomselection(Ingredient!$C$2:$C$18),IF(B271="asian",randomselection(Ingredient!$B$2:$B$18),IF(B271="vegetable",randomselection(Ingredient!$D$2:$D$18),randomselection(Ingredient!$E$2:$E$18))))))</f>
        <v>corn</v>
      </c>
      <c r="D271" t="str">
        <f>VLOOKUP(IngredientGenerator!C271,Ingredient!$A$21:$F$111,2,FALSE)</f>
        <v>can</v>
      </c>
      <c r="E271" t="s">
        <v>113</v>
      </c>
      <c r="F271" t="str">
        <f t="shared" si="4"/>
        <v>corn is a very nice food and beverage category that is categorized under asian cuisine</v>
      </c>
      <c r="G271">
        <f>VLOOKUP(IngredientGenerator!C271,Ingredient!$A$21:$F$111,6,FALSE)</f>
        <v>5.0999999999999996</v>
      </c>
    </row>
    <row r="272" spans="1:7" x14ac:dyDescent="0.25">
      <c r="A272">
        <v>36</v>
      </c>
      <c r="B272" t="s">
        <v>112</v>
      </c>
      <c r="C272" t="str">
        <f>IF(B272="western",randomselection(Ingredient!$A$2:$A$18),IF(B272="asian",randomselection(Ingredient!$B$2:$B$18),IF(B272="fusion",randomselection(Ingredient!$C$2:$C$18),IF(B272="asian",randomselection(Ingredient!$B$2:$B$18),IF(B272="vegetable",randomselection(Ingredient!$D$2:$D$18),randomselection(Ingredient!$E$2:$E$18))))))</f>
        <v>hash browns</v>
      </c>
      <c r="D272" t="str">
        <f>VLOOKUP(IngredientGenerator!C272,Ingredient!$A$21:$F$111,2,FALSE)</f>
        <v>package</v>
      </c>
      <c r="E272" t="s">
        <v>112</v>
      </c>
      <c r="F272" t="str">
        <f t="shared" si="4"/>
        <v>hash browns is a very nice food and beverage category that is categorized under western cuisine</v>
      </c>
      <c r="G272">
        <f>VLOOKUP(IngredientGenerator!C272,Ingredient!$A$21:$F$111,6,FALSE)</f>
        <v>4.5999999999999996</v>
      </c>
    </row>
    <row r="273" spans="1:7" x14ac:dyDescent="0.25">
      <c r="A273">
        <v>37</v>
      </c>
      <c r="B273" t="s">
        <v>115</v>
      </c>
      <c r="C273" t="str">
        <f>IF(B273="western",randomselection(Ingredient!$A$2:$A$18),IF(B273="asian",randomselection(Ingredient!$B$2:$B$18),IF(B273="fusion",randomselection(Ingredient!$C$2:$C$18),IF(B273="asian",randomselection(Ingredient!$B$2:$B$18),IF(B273="vegetable",randomselection(Ingredient!$D$2:$D$18),randomselection(Ingredient!$E$2:$E$18))))))</f>
        <v>applesauce</v>
      </c>
      <c r="D273" t="str">
        <f>VLOOKUP(IngredientGenerator!C273,Ingredient!$A$21:$F$111,2,FALSE)</f>
        <v>can</v>
      </c>
      <c r="E273" t="s">
        <v>115</v>
      </c>
      <c r="F273" t="str">
        <f t="shared" si="4"/>
        <v>applesauce is a very nice food and beverage category that is categorized under vegetable cuisine</v>
      </c>
      <c r="G273">
        <f>VLOOKUP(IngredientGenerator!C273,Ingredient!$A$21:$F$111,6,FALSE)</f>
        <v>2.1</v>
      </c>
    </row>
    <row r="274" spans="1:7" x14ac:dyDescent="0.25">
      <c r="A274">
        <v>38</v>
      </c>
      <c r="B274" t="s">
        <v>114</v>
      </c>
      <c r="C274" t="str">
        <f>IF(B274="western",randomselection(Ingredient!$A$2:$A$18),IF(B274="asian",randomselection(Ingredient!$B$2:$B$18),IF(B274="fusion",randomselection(Ingredient!$C$2:$C$18),IF(B274="asian",randomselection(Ingredient!$B$2:$B$18),IF(B274="vegetable",randomselection(Ingredient!$D$2:$D$18),randomselection(Ingredient!$E$2:$E$18))))))</f>
        <v>feta cheese</v>
      </c>
      <c r="D274" t="str">
        <f>VLOOKUP(IngredientGenerator!C274,Ingredient!$A$21:$F$111,2,FALSE)</f>
        <v>package</v>
      </c>
      <c r="E274" t="s">
        <v>114</v>
      </c>
      <c r="F274" t="str">
        <f t="shared" si="4"/>
        <v>feta cheese is a very nice food and beverage category that is categorized under fusion cuisine</v>
      </c>
      <c r="G274">
        <f>VLOOKUP(IngredientGenerator!C274,Ingredient!$A$21:$F$111,6,FALSE)</f>
        <v>1.7</v>
      </c>
    </row>
    <row r="275" spans="1:7" x14ac:dyDescent="0.25">
      <c r="A275">
        <v>39</v>
      </c>
      <c r="B275" t="s">
        <v>114</v>
      </c>
      <c r="C275" t="str">
        <f>IF(B275="western",randomselection(Ingredient!$A$2:$A$18),IF(B275="asian",randomselection(Ingredient!$B$2:$B$18),IF(B275="fusion",randomselection(Ingredient!$C$2:$C$18),IF(B275="asian",randomselection(Ingredient!$B$2:$B$18),IF(B275="vegetable",randomselection(Ingredient!$D$2:$D$18),randomselection(Ingredient!$E$2:$E$18))))))</f>
        <v>cottage cheese</v>
      </c>
      <c r="D275" t="str">
        <f>VLOOKUP(IngredientGenerator!C275,Ingredient!$A$21:$F$111,2,FALSE)</f>
        <v>package</v>
      </c>
      <c r="E275" t="s">
        <v>114</v>
      </c>
      <c r="F275" t="str">
        <f t="shared" si="4"/>
        <v>cottage cheese is a very nice food and beverage category that is categorized under fusion cuisine</v>
      </c>
      <c r="G275">
        <f>VLOOKUP(IngredientGenerator!C275,Ingredient!$A$21:$F$111,6,FALSE)</f>
        <v>3.1</v>
      </c>
    </row>
    <row r="276" spans="1:7" x14ac:dyDescent="0.25">
      <c r="A276">
        <v>40</v>
      </c>
      <c r="B276" t="s">
        <v>113</v>
      </c>
      <c r="C276" t="str">
        <f>IF(B276="western",randomselection(Ingredient!$A$2:$A$18),IF(B276="asian",randomselection(Ingredient!$B$2:$B$18),IF(B276="fusion",randomselection(Ingredient!$C$2:$C$18),IF(B276="asian",randomselection(Ingredient!$B$2:$B$18),IF(B276="vegetable",randomselection(Ingredient!$D$2:$D$18),randomselection(Ingredient!$E$2:$E$18))))))</f>
        <v>leeks</v>
      </c>
      <c r="D276" t="str">
        <f>VLOOKUP(IngredientGenerator!C276,Ingredient!$A$21:$F$111,2,FALSE)</f>
        <v>package</v>
      </c>
      <c r="E276" t="s">
        <v>113</v>
      </c>
      <c r="F276" t="str">
        <f t="shared" si="4"/>
        <v>leeks is a very nice food and beverage category that is categorized under asian cuisine</v>
      </c>
      <c r="G276">
        <f>VLOOKUP(IngredientGenerator!C276,Ingredient!$A$21:$F$111,6,FALSE)</f>
        <v>4.5999999999999996</v>
      </c>
    </row>
    <row r="277" spans="1:7" x14ac:dyDescent="0.25">
      <c r="A277">
        <v>41</v>
      </c>
      <c r="B277" t="s">
        <v>115</v>
      </c>
      <c r="C277" t="str">
        <f>IF(B277="western",randomselection(Ingredient!$A$2:$A$18),IF(B277="asian",randomselection(Ingredient!$B$2:$B$18),IF(B277="fusion",randomselection(Ingredient!$C$2:$C$18),IF(B277="asian",randomselection(Ingredient!$B$2:$B$18),IF(B277="vegetable",randomselection(Ingredient!$D$2:$D$18),randomselection(Ingredient!$E$2:$E$18))))))</f>
        <v>brussels sprouts</v>
      </c>
      <c r="D277" t="str">
        <f>VLOOKUP(IngredientGenerator!C277,Ingredient!$A$21:$F$111,2,FALSE)</f>
        <v>can</v>
      </c>
      <c r="E277" t="s">
        <v>115</v>
      </c>
      <c r="F277" t="str">
        <f t="shared" si="4"/>
        <v>brussels sprouts is a very nice food and beverage category that is categorized under vegetable cuisine</v>
      </c>
      <c r="G277">
        <f>VLOOKUP(IngredientGenerator!C277,Ingredient!$A$21:$F$111,6,FALSE)</f>
        <v>2.7</v>
      </c>
    </row>
    <row r="278" spans="1:7" x14ac:dyDescent="0.25">
      <c r="A278">
        <v>42</v>
      </c>
      <c r="B278" t="s">
        <v>114</v>
      </c>
      <c r="C278" t="str">
        <f>IF(B278="western",randomselection(Ingredient!$A$2:$A$18),IF(B278="asian",randomselection(Ingredient!$B$2:$B$18),IF(B278="fusion",randomselection(Ingredient!$C$2:$C$18),IF(B278="asian",randomselection(Ingredient!$B$2:$B$18),IF(B278="vegetable",randomselection(Ingredient!$D$2:$D$18),randomselection(Ingredient!$E$2:$E$18))))))</f>
        <v>apples</v>
      </c>
      <c r="D278" t="str">
        <f>VLOOKUP(IngredientGenerator!C278,Ingredient!$A$21:$F$111,2,FALSE)</f>
        <v>package</v>
      </c>
      <c r="E278" t="s">
        <v>114</v>
      </c>
      <c r="F278" t="str">
        <f t="shared" si="4"/>
        <v>apples is a very nice food and beverage category that is categorized under fusion cuisine</v>
      </c>
      <c r="G278">
        <f>VLOOKUP(IngredientGenerator!C278,Ingredient!$A$21:$F$111,6,FALSE)</f>
        <v>2.5</v>
      </c>
    </row>
    <row r="279" spans="1:7" x14ac:dyDescent="0.25">
      <c r="A279">
        <v>43</v>
      </c>
      <c r="B279" t="s">
        <v>112</v>
      </c>
      <c r="C279" t="str">
        <f>IF(B279="western",randomselection(Ingredient!$A$2:$A$18),IF(B279="asian",randomselection(Ingredient!$B$2:$B$18),IF(B279="fusion",randomselection(Ingredient!$C$2:$C$18),IF(B279="asian",randomselection(Ingredient!$B$2:$B$18),IF(B279="vegetable",randomselection(Ingredient!$D$2:$D$18),randomselection(Ingredient!$E$2:$E$18))))))</f>
        <v>hash browns</v>
      </c>
      <c r="D279" t="str">
        <f>VLOOKUP(IngredientGenerator!C279,Ingredient!$A$21:$F$111,2,FALSE)</f>
        <v>package</v>
      </c>
      <c r="E279" t="s">
        <v>112</v>
      </c>
      <c r="F279" t="str">
        <f t="shared" si="4"/>
        <v>hash browns is a very nice food and beverage category that is categorized under western cuisine</v>
      </c>
      <c r="G279">
        <f>VLOOKUP(IngredientGenerator!C279,Ingredient!$A$21:$F$111,6,FALSE)</f>
        <v>4.5999999999999996</v>
      </c>
    </row>
    <row r="280" spans="1:7" x14ac:dyDescent="0.25">
      <c r="A280">
        <v>44</v>
      </c>
      <c r="B280" t="s">
        <v>112</v>
      </c>
      <c r="C280" t="str">
        <f>IF(B280="western",randomselection(Ingredient!$A$2:$A$18),IF(B280="asian",randomselection(Ingredient!$B$2:$B$18),IF(B280="fusion",randomselection(Ingredient!$C$2:$C$18),IF(B280="asian",randomselection(Ingredient!$B$2:$B$18),IF(B280="vegetable",randomselection(Ingredient!$D$2:$D$18),randomselection(Ingredient!$E$2:$E$18))))))</f>
        <v>bean threads</v>
      </c>
      <c r="D280" t="str">
        <f>VLOOKUP(IngredientGenerator!C280,Ingredient!$A$21:$F$111,2,FALSE)</f>
        <v>can</v>
      </c>
      <c r="E280" t="s">
        <v>112</v>
      </c>
      <c r="F280" t="str">
        <f t="shared" si="4"/>
        <v>bean threads is a very nice food and beverage category that is categorized under western cuisine</v>
      </c>
      <c r="G280">
        <f>VLOOKUP(IngredientGenerator!C280,Ingredient!$A$21:$F$111,6,FALSE)</f>
        <v>4.8</v>
      </c>
    </row>
    <row r="281" spans="1:7" x14ac:dyDescent="0.25">
      <c r="A281">
        <v>45</v>
      </c>
      <c r="B281" t="s">
        <v>112</v>
      </c>
      <c r="C281" t="str">
        <f>IF(B281="western",randomselection(Ingredient!$A$2:$A$18),IF(B281="asian",randomselection(Ingredient!$B$2:$B$18),IF(B281="fusion",randomselection(Ingredient!$C$2:$C$18),IF(B281="asian",randomselection(Ingredient!$B$2:$B$18),IF(B281="vegetable",randomselection(Ingredient!$D$2:$D$18),randomselection(Ingredient!$E$2:$E$18))))))</f>
        <v>pasta</v>
      </c>
      <c r="D281" t="str">
        <f>VLOOKUP(IngredientGenerator!C281,Ingredient!$A$21:$F$111,2,FALSE)</f>
        <v>can</v>
      </c>
      <c r="E281" t="s">
        <v>112</v>
      </c>
      <c r="F281" t="str">
        <f t="shared" si="4"/>
        <v>pasta is a very nice food and beverage category that is categorized under western cuisine</v>
      </c>
      <c r="G281">
        <f>VLOOKUP(IngredientGenerator!C281,Ingredient!$A$21:$F$111,6,FALSE)</f>
        <v>3</v>
      </c>
    </row>
    <row r="282" spans="1:7" x14ac:dyDescent="0.25">
      <c r="A282">
        <v>46</v>
      </c>
      <c r="B282" t="s">
        <v>115</v>
      </c>
      <c r="C282" t="str">
        <f>IF(B282="western",randomselection(Ingredient!$A$2:$A$18),IF(B282="asian",randomselection(Ingredient!$B$2:$B$18),IF(B282="fusion",randomselection(Ingredient!$C$2:$C$18),IF(B282="asian",randomselection(Ingredient!$B$2:$B$18),IF(B282="vegetable",randomselection(Ingredient!$D$2:$D$18),randomselection(Ingredient!$E$2:$E$18))))))</f>
        <v>pea beans</v>
      </c>
      <c r="D282" t="str">
        <f>VLOOKUP(IngredientGenerator!C282,Ingredient!$A$21:$F$111,2,FALSE)</f>
        <v>can</v>
      </c>
      <c r="E282" t="s">
        <v>115</v>
      </c>
      <c r="F282" t="str">
        <f t="shared" si="4"/>
        <v>pea beans is a very nice food and beverage category that is categorized under vegetable cuisine</v>
      </c>
      <c r="G282">
        <f>VLOOKUP(IngredientGenerator!C282,Ingredient!$A$21:$F$111,6,FALSE)</f>
        <v>3.4</v>
      </c>
    </row>
    <row r="283" spans="1:7" x14ac:dyDescent="0.25">
      <c r="A283">
        <v>47</v>
      </c>
      <c r="B283" t="s">
        <v>114</v>
      </c>
      <c r="C283" t="str">
        <f>IF(B283="western",randomselection(Ingredient!$A$2:$A$18),IF(B283="asian",randomselection(Ingredient!$B$2:$B$18),IF(B283="fusion",randomselection(Ingredient!$C$2:$C$18),IF(B283="asian",randomselection(Ingredient!$B$2:$B$18),IF(B283="vegetable",randomselection(Ingredient!$D$2:$D$18),randomselection(Ingredient!$E$2:$E$18))))))</f>
        <v>coriander</v>
      </c>
      <c r="D283" t="str">
        <f>VLOOKUP(IngredientGenerator!C283,Ingredient!$A$21:$F$111,2,FALSE)</f>
        <v>can</v>
      </c>
      <c r="E283" t="s">
        <v>114</v>
      </c>
      <c r="F283" t="str">
        <f t="shared" si="4"/>
        <v>coriander is a very nice food and beverage category that is categorized under fusion cuisine</v>
      </c>
      <c r="G283">
        <f>VLOOKUP(IngredientGenerator!C283,Ingredient!$A$21:$F$111,6,FALSE)</f>
        <v>1.5</v>
      </c>
    </row>
    <row r="284" spans="1:7" x14ac:dyDescent="0.25">
      <c r="A284">
        <v>48</v>
      </c>
      <c r="B284" t="s">
        <v>114</v>
      </c>
      <c r="C284" t="str">
        <f>IF(B284="western",randomselection(Ingredient!$A$2:$A$18),IF(B284="asian",randomselection(Ingredient!$B$2:$B$18),IF(B284="fusion",randomselection(Ingredient!$C$2:$C$18),IF(B284="asian",randomselection(Ingredient!$B$2:$B$18),IF(B284="vegetable",randomselection(Ingredient!$D$2:$D$18),randomselection(Ingredient!$E$2:$E$18))))))</f>
        <v>cottage cheese</v>
      </c>
      <c r="D284" t="str">
        <f>VLOOKUP(IngredientGenerator!C284,Ingredient!$A$21:$F$111,2,FALSE)</f>
        <v>package</v>
      </c>
      <c r="E284" t="s">
        <v>114</v>
      </c>
      <c r="F284" t="str">
        <f t="shared" si="4"/>
        <v>cottage cheese is a very nice food and beverage category that is categorized under fusion cuisine</v>
      </c>
      <c r="G284">
        <f>VLOOKUP(IngredientGenerator!C284,Ingredient!$A$21:$F$111,6,FALSE)</f>
        <v>3.1</v>
      </c>
    </row>
    <row r="285" spans="1:7" x14ac:dyDescent="0.25">
      <c r="A285">
        <v>49</v>
      </c>
      <c r="B285" t="s">
        <v>114</v>
      </c>
      <c r="C285" t="str">
        <f>IF(B285="western",randomselection(Ingredient!$A$2:$A$18),IF(B285="asian",randomselection(Ingredient!$B$2:$B$18),IF(B285="fusion",randomselection(Ingredient!$C$2:$C$18),IF(B285="asian",randomselection(Ingredient!$B$2:$B$18),IF(B285="vegetable",randomselection(Ingredient!$D$2:$D$18),randomselection(Ingredient!$E$2:$E$18))))))</f>
        <v>pumpkin seeds</v>
      </c>
      <c r="D285" t="str">
        <f>VLOOKUP(IngredientGenerator!C285,Ingredient!$A$21:$F$111,2,FALSE)</f>
        <v>package</v>
      </c>
      <c r="E285" t="s">
        <v>114</v>
      </c>
      <c r="F285" t="str">
        <f t="shared" si="4"/>
        <v>pumpkin seeds is a very nice food and beverage category that is categorized under fusion cuisine</v>
      </c>
      <c r="G285">
        <f>VLOOKUP(IngredientGenerator!C285,Ingredient!$A$21:$F$111,6,FALSE)</f>
        <v>3.4</v>
      </c>
    </row>
    <row r="286" spans="1:7" x14ac:dyDescent="0.25">
      <c r="A286">
        <v>50</v>
      </c>
      <c r="B286" t="s">
        <v>114</v>
      </c>
      <c r="C286" t="str">
        <f>IF(B286="western",randomselection(Ingredient!$A$2:$A$18),IF(B286="asian",randomselection(Ingredient!$B$2:$B$18),IF(B286="fusion",randomselection(Ingredient!$C$2:$C$18),IF(B286="asian",randomselection(Ingredient!$B$2:$B$18),IF(B286="vegetable",randomselection(Ingredient!$D$2:$D$18),randomselection(Ingredient!$E$2:$E$18))))))</f>
        <v>ricotta cheese</v>
      </c>
      <c r="D286" t="str">
        <f>VLOOKUP(IngredientGenerator!C286,Ingredient!$A$21:$F$111,2,FALSE)</f>
        <v>package</v>
      </c>
      <c r="E286" t="s">
        <v>114</v>
      </c>
      <c r="F286" t="str">
        <f t="shared" si="4"/>
        <v>ricotta cheese is a very nice food and beverage category that is categorized under fusion cuisine</v>
      </c>
      <c r="G286">
        <f>VLOOKUP(IngredientGenerator!C286,Ingredient!$A$21:$F$111,6,FALSE)</f>
        <v>1.4</v>
      </c>
    </row>
    <row r="287" spans="1:7" x14ac:dyDescent="0.25">
      <c r="A287">
        <v>51</v>
      </c>
      <c r="B287" t="s">
        <v>114</v>
      </c>
      <c r="C287" t="str">
        <f>IF(B287="western",randomselection(Ingredient!$A$2:$A$18),IF(B287="asian",randomselection(Ingredient!$B$2:$B$18),IF(B287="fusion",randomselection(Ingredient!$C$2:$C$18),IF(B287="asian",randomselection(Ingredient!$B$2:$B$18),IF(B287="vegetable",randomselection(Ingredient!$D$2:$D$18),randomselection(Ingredient!$E$2:$E$18))))))</f>
        <v>feta cheese</v>
      </c>
      <c r="D287" t="str">
        <f>VLOOKUP(IngredientGenerator!C287,Ingredient!$A$21:$F$111,2,FALSE)</f>
        <v>package</v>
      </c>
      <c r="E287" t="s">
        <v>114</v>
      </c>
      <c r="F287" t="str">
        <f t="shared" si="4"/>
        <v>feta cheese is a very nice food and beverage category that is categorized under fusion cuisine</v>
      </c>
      <c r="G287">
        <f>VLOOKUP(IngredientGenerator!C287,Ingredient!$A$21:$F$111,6,FALSE)</f>
        <v>1.7</v>
      </c>
    </row>
    <row r="288" spans="1:7" x14ac:dyDescent="0.25">
      <c r="A288">
        <v>52</v>
      </c>
      <c r="B288" t="s">
        <v>114</v>
      </c>
      <c r="C288" t="str">
        <f>IF(B288="western",randomselection(Ingredient!$A$2:$A$18),IF(B288="asian",randomselection(Ingredient!$B$2:$B$18),IF(B288="fusion",randomselection(Ingredient!$C$2:$C$18),IF(B288="asian",randomselection(Ingredient!$B$2:$B$18),IF(B288="vegetable",randomselection(Ingredient!$D$2:$D$18),randomselection(Ingredient!$E$2:$E$18))))))</f>
        <v>plantains</v>
      </c>
      <c r="D288" t="str">
        <f>VLOOKUP(IngredientGenerator!C288,Ingredient!$A$21:$F$111,2,FALSE)</f>
        <v>can</v>
      </c>
      <c r="E288" t="s">
        <v>114</v>
      </c>
      <c r="F288" t="str">
        <f t="shared" si="4"/>
        <v>plantains is a very nice food and beverage category that is categorized under fusion cuisine</v>
      </c>
      <c r="G288">
        <f>VLOOKUP(IngredientGenerator!C288,Ingredient!$A$21:$F$111,6,FALSE)</f>
        <v>3.5</v>
      </c>
    </row>
    <row r="289" spans="1:7" x14ac:dyDescent="0.25">
      <c r="A289">
        <v>53</v>
      </c>
      <c r="B289" t="s">
        <v>113</v>
      </c>
      <c r="C289" t="str">
        <f>IF(B289="western",randomselection(Ingredient!$A$2:$A$18),IF(B289="asian",randomselection(Ingredient!$B$2:$B$18),IF(B289="fusion",randomselection(Ingredient!$C$2:$C$18),IF(B289="asian",randomselection(Ingredient!$B$2:$B$18),IF(B289="vegetable",randomselection(Ingredient!$D$2:$D$18),randomselection(Ingredient!$E$2:$E$18))))))</f>
        <v>blue cheese</v>
      </c>
      <c r="D289" t="str">
        <f>VLOOKUP(IngredientGenerator!C289,Ingredient!$A$21:$F$111,2,FALSE)</f>
        <v>package</v>
      </c>
      <c r="E289" t="s">
        <v>113</v>
      </c>
      <c r="F289" t="str">
        <f t="shared" si="4"/>
        <v>blue cheese is a very nice food and beverage category that is categorized under asian cuisine</v>
      </c>
      <c r="G289">
        <f>VLOOKUP(IngredientGenerator!C289,Ingredient!$A$21:$F$111,6,FALSE)</f>
        <v>10.8</v>
      </c>
    </row>
    <row r="290" spans="1:7" x14ac:dyDescent="0.25">
      <c r="A290">
        <v>54</v>
      </c>
      <c r="B290" t="s">
        <v>114</v>
      </c>
      <c r="C290" t="str">
        <f>IF(B290="western",randomselection(Ingredient!$A$2:$A$18),IF(B290="asian",randomselection(Ingredient!$B$2:$B$18),IF(B290="fusion",randomselection(Ingredient!$C$2:$C$18),IF(B290="asian",randomselection(Ingredient!$B$2:$B$18),IF(B290="vegetable",randomselection(Ingredient!$D$2:$D$18),randomselection(Ingredient!$E$2:$E$18))))))</f>
        <v>colby cheese</v>
      </c>
      <c r="D290" t="str">
        <f>VLOOKUP(IngredientGenerator!C290,Ingredient!$A$21:$F$111,2,FALSE)</f>
        <v>package</v>
      </c>
      <c r="E290" t="s">
        <v>114</v>
      </c>
      <c r="F290" t="str">
        <f t="shared" si="4"/>
        <v>colby cheese is a very nice food and beverage category that is categorized under fusion cuisine</v>
      </c>
      <c r="G290">
        <f>VLOOKUP(IngredientGenerator!C290,Ingredient!$A$21:$F$111,6,FALSE)</f>
        <v>2.2000000000000002</v>
      </c>
    </row>
    <row r="291" spans="1:7" x14ac:dyDescent="0.25">
      <c r="A291">
        <v>55</v>
      </c>
      <c r="B291" t="s">
        <v>112</v>
      </c>
      <c r="C291" t="str">
        <f>IF(B291="western",randomselection(Ingredient!$A$2:$A$18),IF(B291="asian",randomselection(Ingredient!$B$2:$B$18),IF(B291="fusion",randomselection(Ingredient!$C$2:$C$18),IF(B291="asian",randomselection(Ingredient!$B$2:$B$18),IF(B291="vegetable",randomselection(Ingredient!$D$2:$D$18),randomselection(Ingredient!$E$2:$E$18))))))</f>
        <v>lobsters</v>
      </c>
      <c r="D291" t="str">
        <f>VLOOKUP(IngredientGenerator!C291,Ingredient!$A$21:$F$111,2,FALSE)</f>
        <v>piece</v>
      </c>
      <c r="E291" t="s">
        <v>112</v>
      </c>
      <c r="F291" t="str">
        <f t="shared" si="4"/>
        <v>lobsters is a very nice food and beverage category that is categorized under western cuisine</v>
      </c>
      <c r="G291">
        <f>VLOOKUP(IngredientGenerator!C291,Ingredient!$A$21:$F$111,6,FALSE)</f>
        <v>5</v>
      </c>
    </row>
    <row r="292" spans="1:7" x14ac:dyDescent="0.25">
      <c r="A292">
        <v>56</v>
      </c>
      <c r="B292" t="s">
        <v>112</v>
      </c>
      <c r="C292" t="str">
        <f>IF(B292="western",randomselection(Ingredient!$A$2:$A$18),IF(B292="asian",randomselection(Ingredient!$B$2:$B$18),IF(B292="fusion",randomselection(Ingredient!$C$2:$C$18),IF(B292="asian",randomselection(Ingredient!$B$2:$B$18),IF(B292="vegetable",randomselection(Ingredient!$D$2:$D$18),randomselection(Ingredient!$E$2:$E$18))))))</f>
        <v>hash browns</v>
      </c>
      <c r="D292" t="str">
        <f>VLOOKUP(IngredientGenerator!C292,Ingredient!$A$21:$F$111,2,FALSE)</f>
        <v>package</v>
      </c>
      <c r="E292" t="s">
        <v>112</v>
      </c>
      <c r="F292" t="str">
        <f t="shared" si="4"/>
        <v>hash browns is a very nice food and beverage category that is categorized under western cuisine</v>
      </c>
      <c r="G292">
        <f>VLOOKUP(IngredientGenerator!C292,Ingredient!$A$21:$F$111,6,FALSE)</f>
        <v>4.5999999999999996</v>
      </c>
    </row>
    <row r="293" spans="1:7" x14ac:dyDescent="0.25">
      <c r="A293">
        <v>57</v>
      </c>
      <c r="B293" t="s">
        <v>116</v>
      </c>
      <c r="C293" t="str">
        <f>IF(B293="western",randomselection(Ingredient!$A$2:$A$18),IF(B293="asian",randomselection(Ingredient!$B$2:$B$18),IF(B293="fusion",randomselection(Ingredient!$C$2:$C$18),IF(B293="asian",randomselection(Ingredient!$B$2:$B$18),IF(B293="vegetable",randomselection(Ingredient!$D$2:$D$18),randomselection(Ingredient!$E$2:$E$18))))))</f>
        <v>bay leaves</v>
      </c>
      <c r="D293" t="str">
        <f>VLOOKUP(IngredientGenerator!C293,Ingredient!$A$21:$F$111,2,FALSE)</f>
        <v>can</v>
      </c>
      <c r="E293" t="s">
        <v>116</v>
      </c>
      <c r="F293" t="str">
        <f t="shared" si="4"/>
        <v>bay leaves is a very nice food and beverage category that is categorized under beverage cuisine</v>
      </c>
      <c r="G293">
        <f>VLOOKUP(IngredientGenerator!C293,Ingredient!$A$21:$F$111,6,FALSE)</f>
        <v>2</v>
      </c>
    </row>
    <row r="294" spans="1:7" x14ac:dyDescent="0.25">
      <c r="A294">
        <v>58</v>
      </c>
      <c r="B294" t="s">
        <v>112</v>
      </c>
      <c r="C294" t="str">
        <f>IF(B294="western",randomselection(Ingredient!$A$2:$A$18),IF(B294="asian",randomselection(Ingredient!$B$2:$B$18),IF(B294="fusion",randomselection(Ingredient!$C$2:$C$18),IF(B294="asian",randomselection(Ingredient!$B$2:$B$18),IF(B294="vegetable",randomselection(Ingredient!$D$2:$D$18),randomselection(Ingredient!$E$2:$E$18))))))</f>
        <v>spaghetti squash</v>
      </c>
      <c r="D294" t="str">
        <f>VLOOKUP(IngredientGenerator!C294,Ingredient!$A$21:$F$111,2,FALSE)</f>
        <v>package</v>
      </c>
      <c r="E294" t="s">
        <v>112</v>
      </c>
      <c r="F294" t="str">
        <f t="shared" si="4"/>
        <v>spaghetti squash is a very nice food and beverage category that is categorized under western cuisine</v>
      </c>
      <c r="G294">
        <f>VLOOKUP(IngredientGenerator!C294,Ingredient!$A$21:$F$111,6,FALSE)</f>
        <v>5</v>
      </c>
    </row>
    <row r="295" spans="1:7" x14ac:dyDescent="0.25">
      <c r="A295">
        <v>59</v>
      </c>
      <c r="B295" t="s">
        <v>112</v>
      </c>
      <c r="C295" t="str">
        <f>IF(B295="western",randomselection(Ingredient!$A$2:$A$18),IF(B295="asian",randomselection(Ingredient!$B$2:$B$18),IF(B295="fusion",randomselection(Ingredient!$C$2:$C$18),IF(B295="asian",randomselection(Ingredient!$B$2:$B$18),IF(B295="vegetable",randomselection(Ingredient!$D$2:$D$18),randomselection(Ingredient!$E$2:$E$18))))))</f>
        <v>Canadian bacon</v>
      </c>
      <c r="D295" t="str">
        <f>VLOOKUP(IngredientGenerator!C295,Ingredient!$A$21:$F$111,2,FALSE)</f>
        <v>piece</v>
      </c>
      <c r="E295" t="s">
        <v>112</v>
      </c>
      <c r="F295" t="str">
        <f t="shared" si="4"/>
        <v>Canadian bacon is a very nice food and beverage category that is categorized under western cuisine</v>
      </c>
      <c r="G295">
        <f>VLOOKUP(IngredientGenerator!C295,Ingredient!$A$21:$F$111,6,FALSE)</f>
        <v>1.5</v>
      </c>
    </row>
    <row r="296" spans="1:7" x14ac:dyDescent="0.25">
      <c r="A296">
        <v>60</v>
      </c>
      <c r="B296" t="s">
        <v>113</v>
      </c>
      <c r="C296" t="str">
        <f>IF(B296="western",randomselection(Ingredient!$A$2:$A$18),IF(B296="asian",randomselection(Ingredient!$B$2:$B$18),IF(B296="fusion",randomselection(Ingredient!$C$2:$C$18),IF(B296="asian",randomselection(Ingredient!$B$2:$B$18),IF(B296="vegetable",randomselection(Ingredient!$D$2:$D$18),randomselection(Ingredient!$E$2:$E$18))))))</f>
        <v>cornmeal</v>
      </c>
      <c r="D296" t="str">
        <f>VLOOKUP(IngredientGenerator!C296,Ingredient!$A$21:$F$111,2,FALSE)</f>
        <v>can</v>
      </c>
      <c r="E296" t="s">
        <v>113</v>
      </c>
      <c r="F296" t="str">
        <f t="shared" si="4"/>
        <v>cornmeal is a very nice food and beverage category that is categorized under asian cuisine</v>
      </c>
      <c r="G296">
        <f>VLOOKUP(IngredientGenerator!C296,Ingredient!$A$21:$F$111,6,FALSE)</f>
        <v>2.1</v>
      </c>
    </row>
    <row r="297" spans="1:7" x14ac:dyDescent="0.25">
      <c r="A297">
        <v>61</v>
      </c>
      <c r="B297" t="s">
        <v>113</v>
      </c>
      <c r="C297" t="str">
        <f>IF(B297="western",randomselection(Ingredient!$A$2:$A$18),IF(B297="asian",randomselection(Ingredient!$B$2:$B$18),IF(B297="fusion",randomselection(Ingredient!$C$2:$C$18),IF(B297="asian",randomselection(Ingredient!$B$2:$B$18),IF(B297="vegetable",randomselection(Ingredient!$D$2:$D$18),randomselection(Ingredient!$E$2:$E$18))))))</f>
        <v>tea</v>
      </c>
      <c r="D297" t="str">
        <f>VLOOKUP(IngredientGenerator!C297,Ingredient!$A$21:$F$111,2,FALSE)</f>
        <v>package</v>
      </c>
      <c r="E297" t="s">
        <v>113</v>
      </c>
      <c r="F297" t="str">
        <f t="shared" si="4"/>
        <v>tea is a very nice food and beverage category that is categorized under asian cuisine</v>
      </c>
      <c r="G297">
        <f>VLOOKUP(IngredientGenerator!C297,Ingredient!$A$21:$F$111,6,FALSE)</f>
        <v>3.2</v>
      </c>
    </row>
    <row r="298" spans="1:7" x14ac:dyDescent="0.25">
      <c r="A298">
        <v>62</v>
      </c>
      <c r="B298" t="s">
        <v>112</v>
      </c>
      <c r="C298" t="str">
        <f>IF(B298="western",randomselection(Ingredient!$A$2:$A$18),IF(B298="asian",randomselection(Ingredient!$B$2:$B$18),IF(B298="fusion",randomselection(Ingredient!$C$2:$C$18),IF(B298="asian",randomselection(Ingredient!$B$2:$B$18),IF(B298="vegetable",randomselection(Ingredient!$D$2:$D$18),randomselection(Ingredient!$E$2:$E$18))))))</f>
        <v>hash browns</v>
      </c>
      <c r="D298" t="str">
        <f>VLOOKUP(IngredientGenerator!C298,Ingredient!$A$21:$F$111,2,FALSE)</f>
        <v>package</v>
      </c>
      <c r="E298" t="s">
        <v>112</v>
      </c>
      <c r="F298" t="str">
        <f t="shared" si="4"/>
        <v>hash browns is a very nice food and beverage category that is categorized under western cuisine</v>
      </c>
      <c r="G298">
        <f>VLOOKUP(IngredientGenerator!C298,Ingredient!$A$21:$F$111,6,FALSE)</f>
        <v>4.5999999999999996</v>
      </c>
    </row>
    <row r="299" spans="1:7" x14ac:dyDescent="0.25">
      <c r="A299">
        <v>63</v>
      </c>
      <c r="B299" t="s">
        <v>116</v>
      </c>
      <c r="C299" t="str">
        <f>IF(B299="western",randomselection(Ingredient!$A$2:$A$18),IF(B299="asian",randomselection(Ingredient!$B$2:$B$18),IF(B299="fusion",randomselection(Ingredient!$C$2:$C$18),IF(B299="asian",randomselection(Ingredient!$B$2:$B$18),IF(B299="vegetable",randomselection(Ingredient!$D$2:$D$18),randomselection(Ingredient!$E$2:$E$18))))))</f>
        <v>chard</v>
      </c>
      <c r="D299" t="str">
        <f>VLOOKUP(IngredientGenerator!C299,Ingredient!$A$21:$F$111,2,FALSE)</f>
        <v>can</v>
      </c>
      <c r="E299" t="s">
        <v>116</v>
      </c>
      <c r="F299" t="str">
        <f t="shared" si="4"/>
        <v>chard is a very nice food and beverage category that is categorized under beverage cuisine</v>
      </c>
      <c r="G299">
        <f>VLOOKUP(IngredientGenerator!C299,Ingredient!$A$21:$F$111,6,FALSE)</f>
        <v>3.9</v>
      </c>
    </row>
    <row r="300" spans="1:7" x14ac:dyDescent="0.25">
      <c r="A300">
        <v>64</v>
      </c>
      <c r="B300" t="s">
        <v>112</v>
      </c>
      <c r="C300" t="str">
        <f>IF(B300="western",randomselection(Ingredient!$A$2:$A$18),IF(B300="asian",randomselection(Ingredient!$B$2:$B$18),IF(B300="fusion",randomselection(Ingredient!$C$2:$C$18),IF(B300="asian",randomselection(Ingredient!$B$2:$B$18),IF(B300="vegetable",randomselection(Ingredient!$D$2:$D$18),randomselection(Ingredient!$E$2:$E$18))))))</f>
        <v>hash browns</v>
      </c>
      <c r="D300" t="str">
        <f>VLOOKUP(IngredientGenerator!C300,Ingredient!$A$21:$F$111,2,FALSE)</f>
        <v>package</v>
      </c>
      <c r="E300" t="s">
        <v>112</v>
      </c>
      <c r="F300" t="str">
        <f t="shared" si="4"/>
        <v>hash browns is a very nice food and beverage category that is categorized under western cuisine</v>
      </c>
      <c r="G300">
        <f>VLOOKUP(IngredientGenerator!C300,Ingredient!$A$21:$F$111,6,FALSE)</f>
        <v>4.5999999999999996</v>
      </c>
    </row>
    <row r="301" spans="1:7" x14ac:dyDescent="0.25">
      <c r="A301">
        <v>65</v>
      </c>
      <c r="B301" t="s">
        <v>112</v>
      </c>
      <c r="C301" t="str">
        <f>IF(B301="western",randomselection(Ingredient!$A$2:$A$18),IF(B301="asian",randomselection(Ingredient!$B$2:$B$18),IF(B301="fusion",randomselection(Ingredient!$C$2:$C$18),IF(B301="asian",randomselection(Ingredient!$B$2:$B$18),IF(B301="vegetable",randomselection(Ingredient!$D$2:$D$18),randomselection(Ingredient!$E$2:$E$18))))))</f>
        <v>bean threads</v>
      </c>
      <c r="D301" t="str">
        <f>VLOOKUP(IngredientGenerator!C301,Ingredient!$A$21:$F$111,2,FALSE)</f>
        <v>can</v>
      </c>
      <c r="E301" t="s">
        <v>112</v>
      </c>
      <c r="F301" t="str">
        <f t="shared" si="4"/>
        <v>bean threads is a very nice food and beverage category that is categorized under western cuisine</v>
      </c>
      <c r="G301">
        <f>VLOOKUP(IngredientGenerator!C301,Ingredient!$A$21:$F$111,6,FALSE)</f>
        <v>4.8</v>
      </c>
    </row>
    <row r="302" spans="1:7" x14ac:dyDescent="0.25">
      <c r="A302">
        <v>6</v>
      </c>
      <c r="B302" t="s">
        <v>112</v>
      </c>
      <c r="C302" t="str">
        <f>IF(B302="western",randomselection(Ingredient!$A$2:$A$18),IF(B302="asian",randomselection(Ingredient!$B$2:$B$18),IF(B302="fusion",randomselection(Ingredient!$C$2:$C$18),IF(B302="asian",randomselection(Ingredient!$B$2:$B$18),IF(B302="vegetable",randomselection(Ingredient!$D$2:$D$18),randomselection(Ingredient!$E$2:$E$18))))))</f>
        <v>bean threads</v>
      </c>
      <c r="D302" t="str">
        <f>VLOOKUP(IngredientGenerator!C302,Ingredient!$A$21:$F$111,2,FALSE)</f>
        <v>can</v>
      </c>
      <c r="E302" t="s">
        <v>112</v>
      </c>
      <c r="F302" t="str">
        <f t="shared" si="4"/>
        <v>bean threads is a very nice food and beverage category that is categorized under western cuisine</v>
      </c>
      <c r="G302">
        <f>VLOOKUP(IngredientGenerator!C302,Ingredient!$A$21:$F$111,6,FALSE)</f>
        <v>4.8</v>
      </c>
    </row>
    <row r="303" spans="1:7" x14ac:dyDescent="0.25">
      <c r="A303">
        <v>7</v>
      </c>
      <c r="B303" t="s">
        <v>113</v>
      </c>
      <c r="C303" t="str">
        <f>IF(B303="western",randomselection(Ingredient!$A$2:$A$18),IF(B303="asian",randomselection(Ingredient!$B$2:$B$18),IF(B303="fusion",randomselection(Ingredient!$C$2:$C$18),IF(B303="asian",randomselection(Ingredient!$B$2:$B$18),IF(B303="vegetable",randomselection(Ingredient!$D$2:$D$18),randomselection(Ingredient!$E$2:$E$18))))))</f>
        <v>grouper</v>
      </c>
      <c r="D303" t="str">
        <f>VLOOKUP(IngredientGenerator!C303,Ingredient!$A$21:$F$111,2,FALSE)</f>
        <v>piece</v>
      </c>
      <c r="E303" t="s">
        <v>113</v>
      </c>
      <c r="F303" t="str">
        <f t="shared" si="4"/>
        <v>grouper is a very nice food and beverage category that is categorized under asian cuisine</v>
      </c>
      <c r="G303">
        <f>VLOOKUP(IngredientGenerator!C303,Ingredient!$A$21:$F$111,6,FALSE)</f>
        <v>5.2</v>
      </c>
    </row>
    <row r="304" spans="1:7" x14ac:dyDescent="0.25">
      <c r="A304">
        <v>8</v>
      </c>
      <c r="B304" t="s">
        <v>114</v>
      </c>
      <c r="C304" t="str">
        <f>IF(B304="western",randomselection(Ingredient!$A$2:$A$18),IF(B304="asian",randomselection(Ingredient!$B$2:$B$18),IF(B304="fusion",randomselection(Ingredient!$C$2:$C$18),IF(B304="asian",randomselection(Ingredient!$B$2:$B$18),IF(B304="vegetable",randomselection(Ingredient!$D$2:$D$18),randomselection(Ingredient!$E$2:$E$18))))))</f>
        <v>cream cheese</v>
      </c>
      <c r="D304" t="str">
        <f>VLOOKUP(IngredientGenerator!C304,Ingredient!$A$21:$F$111,2,FALSE)</f>
        <v>package</v>
      </c>
      <c r="E304" t="s">
        <v>114</v>
      </c>
      <c r="F304" t="str">
        <f t="shared" si="4"/>
        <v>cream cheese is a very nice food and beverage category that is categorized under fusion cuisine</v>
      </c>
      <c r="G304">
        <f>VLOOKUP(IngredientGenerator!C304,Ingredient!$A$21:$F$111,6,FALSE)</f>
        <v>2.2000000000000002</v>
      </c>
    </row>
    <row r="305" spans="1:7" x14ac:dyDescent="0.25">
      <c r="A305">
        <v>9</v>
      </c>
      <c r="B305" t="s">
        <v>114</v>
      </c>
      <c r="C305" t="str">
        <f>IF(B305="western",randomselection(Ingredient!$A$2:$A$18),IF(B305="asian",randomselection(Ingredient!$B$2:$B$18),IF(B305="fusion",randomselection(Ingredient!$C$2:$C$18),IF(B305="asian",randomselection(Ingredient!$B$2:$B$18),IF(B305="vegetable",randomselection(Ingredient!$D$2:$D$18),randomselection(Ingredient!$E$2:$E$18))))))</f>
        <v>ricotta cheese</v>
      </c>
      <c r="D305" t="str">
        <f>VLOOKUP(IngredientGenerator!C305,Ingredient!$A$21:$F$111,2,FALSE)</f>
        <v>package</v>
      </c>
      <c r="E305" t="s">
        <v>114</v>
      </c>
      <c r="F305" t="str">
        <f t="shared" si="4"/>
        <v>ricotta cheese is a very nice food and beverage category that is categorized under fusion cuisine</v>
      </c>
      <c r="G305">
        <f>VLOOKUP(IngredientGenerator!C305,Ingredient!$A$21:$F$111,6,FALSE)</f>
        <v>1.4</v>
      </c>
    </row>
    <row r="306" spans="1:7" x14ac:dyDescent="0.25">
      <c r="A306">
        <v>10</v>
      </c>
      <c r="B306" t="s">
        <v>115</v>
      </c>
      <c r="C306" t="str">
        <f>IF(B306="western",randomselection(Ingredient!$A$2:$A$18),IF(B306="asian",randomselection(Ingredient!$B$2:$B$18),IF(B306="fusion",randomselection(Ingredient!$C$2:$C$18),IF(B306="asian",randomselection(Ingredient!$B$2:$B$18),IF(B306="vegetable",randomselection(Ingredient!$D$2:$D$18),randomselection(Ingredient!$E$2:$E$18))))))</f>
        <v>pea beans</v>
      </c>
      <c r="D306" t="str">
        <f>VLOOKUP(IngredientGenerator!C306,Ingredient!$A$21:$F$111,2,FALSE)</f>
        <v>can</v>
      </c>
      <c r="E306" t="s">
        <v>115</v>
      </c>
      <c r="F306" t="str">
        <f t="shared" si="4"/>
        <v>pea beans is a very nice food and beverage category that is categorized under vegetable cuisine</v>
      </c>
      <c r="G306">
        <f>VLOOKUP(IngredientGenerator!C306,Ingredient!$A$21:$F$111,6,FALSE)</f>
        <v>3.4</v>
      </c>
    </row>
    <row r="307" spans="1:7" x14ac:dyDescent="0.25">
      <c r="A307">
        <v>11</v>
      </c>
      <c r="B307" t="s">
        <v>116</v>
      </c>
      <c r="C307" t="str">
        <f>IF(B307="western",randomselection(Ingredient!$A$2:$A$18),IF(B307="asian",randomselection(Ingredient!$B$2:$B$18),IF(B307="fusion",randomselection(Ingredient!$C$2:$C$18),IF(B307="asian",randomselection(Ingredient!$B$2:$B$18),IF(B307="vegetable",randomselection(Ingredient!$D$2:$D$18),randomselection(Ingredient!$E$2:$E$18))))))</f>
        <v>brandy</v>
      </c>
      <c r="D307" t="str">
        <f>VLOOKUP(IngredientGenerator!C307,Ingredient!$A$21:$F$111,2,FALSE)</f>
        <v>bottle</v>
      </c>
      <c r="E307" t="s">
        <v>116</v>
      </c>
      <c r="F307" t="str">
        <f t="shared" si="4"/>
        <v>brandy is a very nice food and beverage category that is categorized under beverage cuisine</v>
      </c>
      <c r="G307">
        <f>VLOOKUP(IngredientGenerator!C307,Ingredient!$A$21:$F$111,6,FALSE)</f>
        <v>10.7</v>
      </c>
    </row>
    <row r="308" spans="1:7" x14ac:dyDescent="0.25">
      <c r="A308">
        <v>12</v>
      </c>
      <c r="B308" t="s">
        <v>116</v>
      </c>
      <c r="C308" t="str">
        <f>IF(B308="western",randomselection(Ingredient!$A$2:$A$18),IF(B308="asian",randomselection(Ingredient!$B$2:$B$18),IF(B308="fusion",randomselection(Ingredient!$C$2:$C$18),IF(B308="asian",randomselection(Ingredient!$B$2:$B$18),IF(B308="vegetable",randomselection(Ingredient!$D$2:$D$18),randomselection(Ingredient!$E$2:$E$18))))))</f>
        <v>cooking wine</v>
      </c>
      <c r="D308" t="str">
        <f>VLOOKUP(IngredientGenerator!C308,Ingredient!$A$21:$F$111,2,FALSE)</f>
        <v>can</v>
      </c>
      <c r="E308" t="s">
        <v>116</v>
      </c>
      <c r="F308" t="str">
        <f t="shared" si="4"/>
        <v>cooking wine is a very nice food and beverage category that is categorized under beverage cuisine</v>
      </c>
      <c r="G308">
        <f>VLOOKUP(IngredientGenerator!C308,Ingredient!$A$21:$F$111,6,FALSE)</f>
        <v>2.4</v>
      </c>
    </row>
    <row r="309" spans="1:7" x14ac:dyDescent="0.25">
      <c r="A309">
        <v>13</v>
      </c>
      <c r="B309" t="s">
        <v>116</v>
      </c>
      <c r="C309" t="str">
        <f>IF(B309="western",randomselection(Ingredient!$A$2:$A$18),IF(B309="asian",randomselection(Ingredient!$B$2:$B$18),IF(B309="fusion",randomselection(Ingredient!$C$2:$C$18),IF(B309="asian",randomselection(Ingredient!$B$2:$B$18),IF(B309="vegetable",randomselection(Ingredient!$D$2:$D$18),randomselection(Ingredient!$E$2:$E$18))))))</f>
        <v>buckwheat</v>
      </c>
      <c r="D309" t="str">
        <f>VLOOKUP(IngredientGenerator!C309,Ingredient!$A$21:$F$111,2,FALSE)</f>
        <v>package</v>
      </c>
      <c r="E309" t="s">
        <v>116</v>
      </c>
      <c r="F309" t="str">
        <f t="shared" si="4"/>
        <v>buckwheat is a very nice food and beverage category that is categorized under beverage cuisine</v>
      </c>
      <c r="G309">
        <f>VLOOKUP(IngredientGenerator!C309,Ingredient!$A$21:$F$111,6,FALSE)</f>
        <v>5.6</v>
      </c>
    </row>
    <row r="310" spans="1:7" x14ac:dyDescent="0.25">
      <c r="A310">
        <v>14</v>
      </c>
      <c r="B310" t="s">
        <v>113</v>
      </c>
      <c r="C310" t="str">
        <f>IF(B310="western",randomselection(Ingredient!$A$2:$A$18),IF(B310="asian",randomselection(Ingredient!$B$2:$B$18),IF(B310="fusion",randomselection(Ingredient!$C$2:$C$18),IF(B310="asian",randomselection(Ingredient!$B$2:$B$18),IF(B310="vegetable",randomselection(Ingredient!$D$2:$D$18),randomselection(Ingredient!$E$2:$E$18))))))</f>
        <v>lettuce</v>
      </c>
      <c r="D310" t="str">
        <f>VLOOKUP(IngredientGenerator!C310,Ingredient!$A$21:$F$111,2,FALSE)</f>
        <v>package</v>
      </c>
      <c r="E310" t="s">
        <v>113</v>
      </c>
      <c r="F310" t="str">
        <f t="shared" si="4"/>
        <v>lettuce is a very nice food and beverage category that is categorized under asian cuisine</v>
      </c>
      <c r="G310">
        <f>VLOOKUP(IngredientGenerator!C310,Ingredient!$A$21:$F$111,6,FALSE)</f>
        <v>2.6</v>
      </c>
    </row>
    <row r="311" spans="1:7" x14ac:dyDescent="0.25">
      <c r="A311">
        <v>15</v>
      </c>
      <c r="B311" t="s">
        <v>116</v>
      </c>
      <c r="C311" t="str">
        <f>IF(B311="western",randomselection(Ingredient!$A$2:$A$18),IF(B311="asian",randomselection(Ingredient!$B$2:$B$18),IF(B311="fusion",randomselection(Ingredient!$C$2:$C$18),IF(B311="asian",randomselection(Ingredient!$B$2:$B$18),IF(B311="vegetable",randomselection(Ingredient!$D$2:$D$18),randomselection(Ingredient!$E$2:$E$18))))))</f>
        <v>tomato puree</v>
      </c>
      <c r="D311" t="str">
        <f>VLOOKUP(IngredientGenerator!C311,Ingredient!$A$21:$F$111,2,FALSE)</f>
        <v>can</v>
      </c>
      <c r="E311" t="s">
        <v>116</v>
      </c>
      <c r="F311" t="str">
        <f t="shared" si="4"/>
        <v>tomato puree is a very nice food and beverage category that is categorized under beverage cuisine</v>
      </c>
      <c r="G311">
        <f>VLOOKUP(IngredientGenerator!C311,Ingredient!$A$21:$F$111,6,FALSE)</f>
        <v>3.4</v>
      </c>
    </row>
    <row r="312" spans="1:7" x14ac:dyDescent="0.25">
      <c r="A312">
        <v>16</v>
      </c>
      <c r="B312" t="s">
        <v>114</v>
      </c>
      <c r="C312" t="str">
        <f>IF(B312="western",randomselection(Ingredient!$A$2:$A$18),IF(B312="asian",randomselection(Ingredient!$B$2:$B$18),IF(B312="fusion",randomselection(Ingredient!$C$2:$C$18),IF(B312="asian",randomselection(Ingredient!$B$2:$B$18),IF(B312="vegetable",randomselection(Ingredient!$D$2:$D$18),randomselection(Ingredient!$E$2:$E$18))))))</f>
        <v>hot sauce</v>
      </c>
      <c r="D312" t="str">
        <f>VLOOKUP(IngredientGenerator!C312,Ingredient!$A$21:$F$111,2,FALSE)</f>
        <v>can</v>
      </c>
      <c r="E312" t="s">
        <v>114</v>
      </c>
      <c r="F312" t="str">
        <f t="shared" si="4"/>
        <v>hot sauce is a very nice food and beverage category that is categorized under fusion cuisine</v>
      </c>
      <c r="G312">
        <f>VLOOKUP(IngredientGenerator!C312,Ingredient!$A$21:$F$111,6,FALSE)</f>
        <v>1</v>
      </c>
    </row>
    <row r="313" spans="1:7" x14ac:dyDescent="0.25">
      <c r="A313">
        <v>17</v>
      </c>
      <c r="B313" t="s">
        <v>113</v>
      </c>
      <c r="C313" t="str">
        <f>IF(B313="western",randomselection(Ingredient!$A$2:$A$18),IF(B313="asian",randomselection(Ingredient!$B$2:$B$18),IF(B313="fusion",randomselection(Ingredient!$C$2:$C$18),IF(B313="asian",randomselection(Ingredient!$B$2:$B$18),IF(B313="vegetable",randomselection(Ingredient!$D$2:$D$18),randomselection(Ingredient!$E$2:$E$18))))))</f>
        <v>red snapper</v>
      </c>
      <c r="D313" t="str">
        <f>VLOOKUP(IngredientGenerator!C313,Ingredient!$A$21:$F$111,2,FALSE)</f>
        <v>piece</v>
      </c>
      <c r="E313" t="s">
        <v>113</v>
      </c>
      <c r="F313" t="str">
        <f t="shared" si="4"/>
        <v>red snapper is a very nice food and beverage category that is categorized under asian cuisine</v>
      </c>
      <c r="G313">
        <f>VLOOKUP(IngredientGenerator!C313,Ingredient!$A$21:$F$111,6,FALSE)</f>
        <v>10</v>
      </c>
    </row>
    <row r="314" spans="1:7" x14ac:dyDescent="0.25">
      <c r="A314">
        <v>18</v>
      </c>
      <c r="B314" t="s">
        <v>114</v>
      </c>
      <c r="C314" t="str">
        <f>IF(B314="western",randomselection(Ingredient!$A$2:$A$18),IF(B314="asian",randomselection(Ingredient!$B$2:$B$18),IF(B314="fusion",randomselection(Ingredient!$C$2:$C$18),IF(B314="asian",randomselection(Ingredient!$B$2:$B$18),IF(B314="vegetable",randomselection(Ingredient!$D$2:$D$18),randomselection(Ingredient!$E$2:$E$18))))))</f>
        <v>apples</v>
      </c>
      <c r="D314" t="str">
        <f>VLOOKUP(IngredientGenerator!C314,Ingredient!$A$21:$F$111,2,FALSE)</f>
        <v>package</v>
      </c>
      <c r="E314" t="s">
        <v>114</v>
      </c>
      <c r="F314" t="str">
        <f t="shared" si="4"/>
        <v>apples is a very nice food and beverage category that is categorized under fusion cuisine</v>
      </c>
      <c r="G314">
        <f>VLOOKUP(IngredientGenerator!C314,Ingredient!$A$21:$F$111,6,FALSE)</f>
        <v>2.5</v>
      </c>
    </row>
    <row r="315" spans="1:7" x14ac:dyDescent="0.25">
      <c r="A315">
        <v>19</v>
      </c>
      <c r="B315" t="s">
        <v>114</v>
      </c>
      <c r="C315" t="str">
        <f>IF(B315="western",randomselection(Ingredient!$A$2:$A$18),IF(B315="asian",randomselection(Ingredient!$B$2:$B$18),IF(B315="fusion",randomselection(Ingredient!$C$2:$C$18),IF(B315="asian",randomselection(Ingredient!$B$2:$B$18),IF(B315="vegetable",randomselection(Ingredient!$D$2:$D$18),randomselection(Ingredient!$E$2:$E$18))))))</f>
        <v>feta cheese</v>
      </c>
      <c r="D315" t="str">
        <f>VLOOKUP(IngredientGenerator!C315,Ingredient!$A$21:$F$111,2,FALSE)</f>
        <v>package</v>
      </c>
      <c r="E315" t="s">
        <v>114</v>
      </c>
      <c r="F315" t="str">
        <f t="shared" si="4"/>
        <v>feta cheese is a very nice food and beverage category that is categorized under fusion cuisine</v>
      </c>
      <c r="G315">
        <f>VLOOKUP(IngredientGenerator!C315,Ingredient!$A$21:$F$111,6,FALSE)</f>
        <v>1.7</v>
      </c>
    </row>
    <row r="316" spans="1:7" x14ac:dyDescent="0.25">
      <c r="A316">
        <v>20</v>
      </c>
      <c r="B316" t="s">
        <v>114</v>
      </c>
      <c r="C316" t="str">
        <f>IF(B316="western",randomselection(Ingredient!$A$2:$A$18),IF(B316="asian",randomselection(Ingredient!$B$2:$B$18),IF(B316="fusion",randomselection(Ingredient!$C$2:$C$18),IF(B316="asian",randomselection(Ingredient!$B$2:$B$18),IF(B316="vegetable",randomselection(Ingredient!$D$2:$D$18),randomselection(Ingredient!$E$2:$E$18))))))</f>
        <v>plantains</v>
      </c>
      <c r="D316" t="str">
        <f>VLOOKUP(IngredientGenerator!C316,Ingredient!$A$21:$F$111,2,FALSE)</f>
        <v>can</v>
      </c>
      <c r="E316" t="s">
        <v>114</v>
      </c>
      <c r="F316" t="str">
        <f t="shared" si="4"/>
        <v>plantains is a very nice food and beverage category that is categorized under fusion cuisine</v>
      </c>
      <c r="G316">
        <f>VLOOKUP(IngredientGenerator!C316,Ingredient!$A$21:$F$111,6,FALSE)</f>
        <v>3.5</v>
      </c>
    </row>
    <row r="317" spans="1:7" x14ac:dyDescent="0.25">
      <c r="A317">
        <v>21</v>
      </c>
      <c r="B317" t="s">
        <v>113</v>
      </c>
      <c r="C317" t="str">
        <f>IF(B317="western",randomselection(Ingredient!$A$2:$A$18),IF(B317="asian",randomselection(Ingredient!$B$2:$B$18),IF(B317="fusion",randomselection(Ingredient!$C$2:$C$18),IF(B317="asian",randomselection(Ingredient!$B$2:$B$18),IF(B317="vegetable",randomselection(Ingredient!$D$2:$D$18),randomselection(Ingredient!$E$2:$E$18))))))</f>
        <v>salmon</v>
      </c>
      <c r="D317" t="str">
        <f>VLOOKUP(IngredientGenerator!C317,Ingredient!$A$21:$F$111,2,FALSE)</f>
        <v>piece</v>
      </c>
      <c r="E317" t="s">
        <v>113</v>
      </c>
      <c r="F317" t="str">
        <f t="shared" si="4"/>
        <v>salmon is a very nice food and beverage category that is categorized under asian cuisine</v>
      </c>
      <c r="G317">
        <f>VLOOKUP(IngredientGenerator!C317,Ingredient!$A$21:$F$111,6,FALSE)</f>
        <v>5.8</v>
      </c>
    </row>
    <row r="318" spans="1:7" x14ac:dyDescent="0.25">
      <c r="A318">
        <v>22</v>
      </c>
      <c r="B318" t="s">
        <v>116</v>
      </c>
      <c r="C318" t="str">
        <f>IF(B318="western",randomselection(Ingredient!$A$2:$A$18),IF(B318="asian",randomselection(Ingredient!$B$2:$B$18),IF(B318="fusion",randomselection(Ingredient!$C$2:$C$18),IF(B318="asian",randomselection(Ingredient!$B$2:$B$18),IF(B318="vegetable",randomselection(Ingredient!$D$2:$D$18),randomselection(Ingredient!$E$2:$E$18))))))</f>
        <v>bay leaves</v>
      </c>
      <c r="D318" t="str">
        <f>VLOOKUP(IngredientGenerator!C318,Ingredient!$A$21:$F$111,2,FALSE)</f>
        <v>can</v>
      </c>
      <c r="E318" t="s">
        <v>116</v>
      </c>
      <c r="F318" t="str">
        <f t="shared" si="4"/>
        <v>bay leaves is a very nice food and beverage category that is categorized under beverage cuisine</v>
      </c>
      <c r="G318">
        <f>VLOOKUP(IngredientGenerator!C318,Ingredient!$A$21:$F$111,6,FALSE)</f>
        <v>2</v>
      </c>
    </row>
    <row r="319" spans="1:7" x14ac:dyDescent="0.25">
      <c r="A319">
        <v>23</v>
      </c>
      <c r="B319" t="s">
        <v>112</v>
      </c>
      <c r="C319" t="str">
        <f>IF(B319="western",randomselection(Ingredient!$A$2:$A$18),IF(B319="asian",randomselection(Ingredient!$B$2:$B$18),IF(B319="fusion",randomselection(Ingredient!$C$2:$C$18),IF(B319="asian",randomselection(Ingredient!$B$2:$B$18),IF(B319="vegetable",randomselection(Ingredient!$D$2:$D$18),randomselection(Ingredient!$E$2:$E$18))))))</f>
        <v>sauerkraut</v>
      </c>
      <c r="D319" t="str">
        <f>VLOOKUP(IngredientGenerator!C319,Ingredient!$A$21:$F$111,2,FALSE)</f>
        <v>can</v>
      </c>
      <c r="E319" t="s">
        <v>112</v>
      </c>
      <c r="F319" t="str">
        <f t="shared" si="4"/>
        <v>sauerkraut is a very nice food and beverage category that is categorized under western cuisine</v>
      </c>
      <c r="G319">
        <f>VLOOKUP(IngredientGenerator!C319,Ingredient!$A$21:$F$111,6,FALSE)</f>
        <v>4</v>
      </c>
    </row>
    <row r="320" spans="1:7" x14ac:dyDescent="0.25">
      <c r="A320">
        <v>24</v>
      </c>
      <c r="B320" t="s">
        <v>112</v>
      </c>
      <c r="C320" t="str">
        <f>IF(B320="western",randomselection(Ingredient!$A$2:$A$18),IF(B320="asian",randomselection(Ingredient!$B$2:$B$18),IF(B320="fusion",randomselection(Ingredient!$C$2:$C$18),IF(B320="asian",randomselection(Ingredient!$B$2:$B$18),IF(B320="vegetable",randomselection(Ingredient!$D$2:$D$18),randomselection(Ingredient!$E$2:$E$18))))))</f>
        <v>french fries</v>
      </c>
      <c r="D320" t="str">
        <f>VLOOKUP(IngredientGenerator!C320,Ingredient!$A$21:$F$111,2,FALSE)</f>
        <v>package</v>
      </c>
      <c r="E320" t="s">
        <v>112</v>
      </c>
      <c r="F320" t="str">
        <f t="shared" si="4"/>
        <v>french fries is a very nice food and beverage category that is categorized under western cuisine</v>
      </c>
      <c r="G320">
        <f>VLOOKUP(IngredientGenerator!C320,Ingredient!$A$21:$F$111,6,FALSE)</f>
        <v>2.2000000000000002</v>
      </c>
    </row>
    <row r="321" spans="1:7" x14ac:dyDescent="0.25">
      <c r="A321">
        <v>25</v>
      </c>
      <c r="B321" t="s">
        <v>113</v>
      </c>
      <c r="C321" t="str">
        <f>IF(B321="western",randomselection(Ingredient!$A$2:$A$18),IF(B321="asian",randomselection(Ingredient!$B$2:$B$18),IF(B321="fusion",randomselection(Ingredient!$C$2:$C$18),IF(B321="asian",randomselection(Ingredient!$B$2:$B$18),IF(B321="vegetable",randomselection(Ingredient!$D$2:$D$18),randomselection(Ingredient!$E$2:$E$18))))))</f>
        <v>liver</v>
      </c>
      <c r="D321" t="str">
        <f>VLOOKUP(IngredientGenerator!C321,Ingredient!$A$21:$F$111,2,FALSE)</f>
        <v>piece</v>
      </c>
      <c r="E321" t="s">
        <v>113</v>
      </c>
      <c r="F321" t="str">
        <f t="shared" si="4"/>
        <v>liver is a very nice food and beverage category that is categorized under asian cuisine</v>
      </c>
      <c r="G321">
        <f>VLOOKUP(IngredientGenerator!C321,Ingredient!$A$21:$F$111,6,FALSE)</f>
        <v>4.5</v>
      </c>
    </row>
    <row r="322" spans="1:7" x14ac:dyDescent="0.25">
      <c r="A322">
        <v>26</v>
      </c>
      <c r="B322" t="s">
        <v>112</v>
      </c>
      <c r="C322" t="str">
        <f>IF(B322="western",randomselection(Ingredient!$A$2:$A$18),IF(B322="asian",randomselection(Ingredient!$B$2:$B$18),IF(B322="fusion",randomselection(Ingredient!$C$2:$C$18),IF(B322="asian",randomselection(Ingredient!$B$2:$B$18),IF(B322="vegetable",randomselection(Ingredient!$D$2:$D$18),randomselection(Ingredient!$E$2:$E$18))))))</f>
        <v>canola oil</v>
      </c>
      <c r="D322" t="str">
        <f>VLOOKUP(IngredientGenerator!C322,Ingredient!$A$21:$F$111,2,FALSE)</f>
        <v>can</v>
      </c>
      <c r="E322" t="s">
        <v>112</v>
      </c>
      <c r="F322" t="str">
        <f t="shared" ref="F322:F385" si="5">CONCATENATE(C322," is a very nice food and beverage category that is categorized under ",E322," cuisine")</f>
        <v>canola oil is a very nice food and beverage category that is categorized under western cuisine</v>
      </c>
      <c r="G322">
        <f>VLOOKUP(IngredientGenerator!C322,Ingredient!$A$21:$F$111,6,FALSE)</f>
        <v>5.3</v>
      </c>
    </row>
    <row r="323" spans="1:7" x14ac:dyDescent="0.25">
      <c r="A323">
        <v>27</v>
      </c>
      <c r="B323" t="s">
        <v>112</v>
      </c>
      <c r="C323" t="str">
        <f>IF(B323="western",randomselection(Ingredient!$A$2:$A$18),IF(B323="asian",randomselection(Ingredient!$B$2:$B$18),IF(B323="fusion",randomselection(Ingredient!$C$2:$C$18),IF(B323="asian",randomselection(Ingredient!$B$2:$B$18),IF(B323="vegetable",randomselection(Ingredient!$D$2:$D$18),randomselection(Ingredient!$E$2:$E$18))))))</f>
        <v>acorn squash</v>
      </c>
      <c r="D323" t="str">
        <f>VLOOKUP(IngredientGenerator!C323,Ingredient!$A$21:$F$111,2,FALSE)</f>
        <v>package</v>
      </c>
      <c r="E323" t="s">
        <v>112</v>
      </c>
      <c r="F323" t="str">
        <f t="shared" si="5"/>
        <v>acorn squash is a very nice food and beverage category that is categorized under western cuisine</v>
      </c>
      <c r="G323">
        <f>VLOOKUP(IngredientGenerator!C323,Ingredient!$A$21:$F$111,6,FALSE)</f>
        <v>2.9</v>
      </c>
    </row>
    <row r="324" spans="1:7" x14ac:dyDescent="0.25">
      <c r="A324">
        <v>28</v>
      </c>
      <c r="B324" t="s">
        <v>114</v>
      </c>
      <c r="C324" t="str">
        <f>IF(B324="western",randomselection(Ingredient!$A$2:$A$18),IF(B324="asian",randomselection(Ingredient!$B$2:$B$18),IF(B324="fusion",randomselection(Ingredient!$C$2:$C$18),IF(B324="asian",randomselection(Ingredient!$B$2:$B$18),IF(B324="vegetable",randomselection(Ingredient!$D$2:$D$18),randomselection(Ingredient!$E$2:$E$18))))))</f>
        <v>red pepper flakes</v>
      </c>
      <c r="D324" t="str">
        <f>VLOOKUP(IngredientGenerator!C324,Ingredient!$A$21:$F$111,2,FALSE)</f>
        <v>package</v>
      </c>
      <c r="E324" t="s">
        <v>114</v>
      </c>
      <c r="F324" t="str">
        <f t="shared" si="5"/>
        <v>red pepper flakes is a very nice food and beverage category that is categorized under fusion cuisine</v>
      </c>
      <c r="G324">
        <f>VLOOKUP(IngredientGenerator!C324,Ingredient!$A$21:$F$111,6,FALSE)</f>
        <v>2</v>
      </c>
    </row>
    <row r="325" spans="1:7" x14ac:dyDescent="0.25">
      <c r="A325">
        <v>29</v>
      </c>
      <c r="B325" t="s">
        <v>114</v>
      </c>
      <c r="C325" t="str">
        <f>IF(B325="western",randomselection(Ingredient!$A$2:$A$18),IF(B325="asian",randomselection(Ingredient!$B$2:$B$18),IF(B325="fusion",randomselection(Ingredient!$C$2:$C$18),IF(B325="asian",randomselection(Ingredient!$B$2:$B$18),IF(B325="vegetable",randomselection(Ingredient!$D$2:$D$18),randomselection(Ingredient!$E$2:$E$18))))))</f>
        <v>feta cheese</v>
      </c>
      <c r="D325" t="str">
        <f>VLOOKUP(IngredientGenerator!C325,Ingredient!$A$21:$F$111,2,FALSE)</f>
        <v>package</v>
      </c>
      <c r="E325" t="s">
        <v>114</v>
      </c>
      <c r="F325" t="str">
        <f t="shared" si="5"/>
        <v>feta cheese is a very nice food and beverage category that is categorized under fusion cuisine</v>
      </c>
      <c r="G325">
        <f>VLOOKUP(IngredientGenerator!C325,Ingredient!$A$21:$F$111,6,FALSE)</f>
        <v>1.7</v>
      </c>
    </row>
    <row r="326" spans="1:7" x14ac:dyDescent="0.25">
      <c r="A326">
        <v>30</v>
      </c>
      <c r="B326" t="s">
        <v>116</v>
      </c>
      <c r="C326" t="str">
        <f>IF(B326="western",randomselection(Ingredient!$A$2:$A$18),IF(B326="asian",randomselection(Ingredient!$B$2:$B$18),IF(B326="fusion",randomselection(Ingredient!$C$2:$C$18),IF(B326="asian",randomselection(Ingredient!$B$2:$B$18),IF(B326="vegetable",randomselection(Ingredient!$D$2:$D$18),randomselection(Ingredient!$E$2:$E$18))))))</f>
        <v>fennel</v>
      </c>
      <c r="D326" t="str">
        <f>VLOOKUP(IngredientGenerator!C326,Ingredient!$A$21:$F$111,2,FALSE)</f>
        <v>can</v>
      </c>
      <c r="E326" t="s">
        <v>116</v>
      </c>
      <c r="F326" t="str">
        <f t="shared" si="5"/>
        <v>fennel is a very nice food and beverage category that is categorized under beverage cuisine</v>
      </c>
      <c r="G326">
        <f>VLOOKUP(IngredientGenerator!C326,Ingredient!$A$21:$F$111,6,FALSE)</f>
        <v>4</v>
      </c>
    </row>
    <row r="327" spans="1:7" x14ac:dyDescent="0.25">
      <c r="A327">
        <v>31</v>
      </c>
      <c r="B327" t="s">
        <v>116</v>
      </c>
      <c r="C327" t="str">
        <f>IF(B327="western",randomselection(Ingredient!$A$2:$A$18),IF(B327="asian",randomselection(Ingredient!$B$2:$B$18),IF(B327="fusion",randomselection(Ingredient!$C$2:$C$18),IF(B327="asian",randomselection(Ingredient!$B$2:$B$18),IF(B327="vegetable",randomselection(Ingredient!$D$2:$D$18),randomselection(Ingredient!$E$2:$E$18))))))</f>
        <v>broccoli</v>
      </c>
      <c r="D327" t="str">
        <f>VLOOKUP(IngredientGenerator!C327,Ingredient!$A$21:$F$111,2,FALSE)</f>
        <v>package</v>
      </c>
      <c r="E327" t="s">
        <v>116</v>
      </c>
      <c r="F327" t="str">
        <f t="shared" si="5"/>
        <v>broccoli is a very nice food and beverage category that is categorized under beverage cuisine</v>
      </c>
      <c r="G327">
        <f>VLOOKUP(IngredientGenerator!C327,Ingredient!$A$21:$F$111,6,FALSE)</f>
        <v>1.5</v>
      </c>
    </row>
    <row r="328" spans="1:7" x14ac:dyDescent="0.25">
      <c r="A328">
        <v>32</v>
      </c>
      <c r="B328" t="s">
        <v>114</v>
      </c>
      <c r="C328" t="str">
        <f>IF(B328="western",randomselection(Ingredient!$A$2:$A$18),IF(B328="asian",randomselection(Ingredient!$B$2:$B$18),IF(B328="fusion",randomselection(Ingredient!$C$2:$C$18),IF(B328="asian",randomselection(Ingredient!$B$2:$B$18),IF(B328="vegetable",randomselection(Ingredient!$D$2:$D$18),randomselection(Ingredient!$E$2:$E$18))))))</f>
        <v>feta cheese</v>
      </c>
      <c r="D328" t="str">
        <f>VLOOKUP(IngredientGenerator!C328,Ingredient!$A$21:$F$111,2,FALSE)</f>
        <v>package</v>
      </c>
      <c r="E328" t="s">
        <v>114</v>
      </c>
      <c r="F328" t="str">
        <f t="shared" si="5"/>
        <v>feta cheese is a very nice food and beverage category that is categorized under fusion cuisine</v>
      </c>
      <c r="G328">
        <f>VLOOKUP(IngredientGenerator!C328,Ingredient!$A$21:$F$111,6,FALSE)</f>
        <v>1.7</v>
      </c>
    </row>
    <row r="329" spans="1:7" x14ac:dyDescent="0.25">
      <c r="A329">
        <v>33</v>
      </c>
      <c r="B329" t="s">
        <v>112</v>
      </c>
      <c r="C329" t="str">
        <f>IF(B329="western",randomselection(Ingredient!$A$2:$A$18),IF(B329="asian",randomselection(Ingredient!$B$2:$B$18),IF(B329="fusion",randomselection(Ingredient!$C$2:$C$18),IF(B329="asian",randomselection(Ingredient!$B$2:$B$18),IF(B329="vegetable",randomselection(Ingredient!$D$2:$D$18),randomselection(Ingredient!$E$2:$E$18))))))</f>
        <v>lobsters</v>
      </c>
      <c r="D329" t="str">
        <f>VLOOKUP(IngredientGenerator!C329,Ingredient!$A$21:$F$111,2,FALSE)</f>
        <v>piece</v>
      </c>
      <c r="E329" t="s">
        <v>112</v>
      </c>
      <c r="F329" t="str">
        <f t="shared" si="5"/>
        <v>lobsters is a very nice food and beverage category that is categorized under western cuisine</v>
      </c>
      <c r="G329">
        <f>VLOOKUP(IngredientGenerator!C329,Ingredient!$A$21:$F$111,6,FALSE)</f>
        <v>5</v>
      </c>
    </row>
    <row r="330" spans="1:7" x14ac:dyDescent="0.25">
      <c r="A330">
        <v>34</v>
      </c>
      <c r="B330" t="s">
        <v>112</v>
      </c>
      <c r="C330" t="str">
        <f>IF(B330="western",randomselection(Ingredient!$A$2:$A$18),IF(B330="asian",randomselection(Ingredient!$B$2:$B$18),IF(B330="fusion",randomselection(Ingredient!$C$2:$C$18),IF(B330="asian",randomselection(Ingredient!$B$2:$B$18),IF(B330="vegetable",randomselection(Ingredient!$D$2:$D$18),randomselection(Ingredient!$E$2:$E$18))))))</f>
        <v>canola oil</v>
      </c>
      <c r="D330" t="str">
        <f>VLOOKUP(IngredientGenerator!C330,Ingredient!$A$21:$F$111,2,FALSE)</f>
        <v>can</v>
      </c>
      <c r="E330" t="s">
        <v>112</v>
      </c>
      <c r="F330" t="str">
        <f t="shared" si="5"/>
        <v>canola oil is a very nice food and beverage category that is categorized under western cuisine</v>
      </c>
      <c r="G330">
        <f>VLOOKUP(IngredientGenerator!C330,Ingredient!$A$21:$F$111,6,FALSE)</f>
        <v>5.3</v>
      </c>
    </row>
    <row r="331" spans="1:7" x14ac:dyDescent="0.25">
      <c r="A331">
        <v>35</v>
      </c>
      <c r="B331" t="s">
        <v>113</v>
      </c>
      <c r="C331" t="str">
        <f>IF(B331="western",randomselection(Ingredient!$A$2:$A$18),IF(B331="asian",randomselection(Ingredient!$B$2:$B$18),IF(B331="fusion",randomselection(Ingredient!$C$2:$C$18),IF(B331="asian",randomselection(Ingredient!$B$2:$B$18),IF(B331="vegetable",randomselection(Ingredient!$D$2:$D$18),randomselection(Ingredient!$E$2:$E$18))))))</f>
        <v>grouper</v>
      </c>
      <c r="D331" t="str">
        <f>VLOOKUP(IngredientGenerator!C331,Ingredient!$A$21:$F$111,2,FALSE)</f>
        <v>piece</v>
      </c>
      <c r="E331" t="s">
        <v>113</v>
      </c>
      <c r="F331" t="str">
        <f t="shared" si="5"/>
        <v>grouper is a very nice food and beverage category that is categorized under asian cuisine</v>
      </c>
      <c r="G331">
        <f>VLOOKUP(IngredientGenerator!C331,Ingredient!$A$21:$F$111,6,FALSE)</f>
        <v>5.2</v>
      </c>
    </row>
    <row r="332" spans="1:7" x14ac:dyDescent="0.25">
      <c r="A332">
        <v>36</v>
      </c>
      <c r="B332" t="s">
        <v>112</v>
      </c>
      <c r="C332" t="str">
        <f>IF(B332="western",randomselection(Ingredient!$A$2:$A$18),IF(B332="asian",randomselection(Ingredient!$B$2:$B$18),IF(B332="fusion",randomselection(Ingredient!$C$2:$C$18),IF(B332="asian",randomselection(Ingredient!$B$2:$B$18),IF(B332="vegetable",randomselection(Ingredient!$D$2:$D$18),randomselection(Ingredient!$E$2:$E$18))))))</f>
        <v>french fries</v>
      </c>
      <c r="D332" t="str">
        <f>VLOOKUP(IngredientGenerator!C332,Ingredient!$A$21:$F$111,2,FALSE)</f>
        <v>package</v>
      </c>
      <c r="E332" t="s">
        <v>112</v>
      </c>
      <c r="F332" t="str">
        <f t="shared" si="5"/>
        <v>french fries is a very nice food and beverage category that is categorized under western cuisine</v>
      </c>
      <c r="G332">
        <f>VLOOKUP(IngredientGenerator!C332,Ingredient!$A$21:$F$111,6,FALSE)</f>
        <v>2.2000000000000002</v>
      </c>
    </row>
    <row r="333" spans="1:7" x14ac:dyDescent="0.25">
      <c r="A333">
        <v>37</v>
      </c>
      <c r="B333" t="s">
        <v>115</v>
      </c>
      <c r="C333" t="str">
        <f>IF(B333="western",randomselection(Ingredient!$A$2:$A$18),IF(B333="asian",randomselection(Ingredient!$B$2:$B$18),IF(B333="fusion",randomselection(Ingredient!$C$2:$C$18),IF(B333="asian",randomselection(Ingredient!$B$2:$B$18),IF(B333="vegetable",randomselection(Ingredient!$D$2:$D$18),randomselection(Ingredient!$E$2:$E$18))))))</f>
        <v>bean sprouts</v>
      </c>
      <c r="D333" t="str">
        <f>VLOOKUP(IngredientGenerator!C333,Ingredient!$A$21:$F$111,2,FALSE)</f>
        <v>can</v>
      </c>
      <c r="E333" t="s">
        <v>115</v>
      </c>
      <c r="F333" t="str">
        <f t="shared" si="5"/>
        <v>bean sprouts is a very nice food and beverage category that is categorized under vegetable cuisine</v>
      </c>
      <c r="G333">
        <f>VLOOKUP(IngredientGenerator!C333,Ingredient!$A$21:$F$111,6,FALSE)</f>
        <v>2.4</v>
      </c>
    </row>
    <row r="334" spans="1:7" x14ac:dyDescent="0.25">
      <c r="A334">
        <v>38</v>
      </c>
      <c r="B334" t="s">
        <v>114</v>
      </c>
      <c r="C334" t="str">
        <f>IF(B334="western",randomselection(Ingredient!$A$2:$A$18),IF(B334="asian",randomselection(Ingredient!$B$2:$B$18),IF(B334="fusion",randomselection(Ingredient!$C$2:$C$18),IF(B334="asian",randomselection(Ingredient!$B$2:$B$18),IF(B334="vegetable",randomselection(Ingredient!$D$2:$D$18),randomselection(Ingredient!$E$2:$E$18))))))</f>
        <v>cabbage</v>
      </c>
      <c r="D334" t="str">
        <f>VLOOKUP(IngredientGenerator!C334,Ingredient!$A$21:$F$111,2,FALSE)</f>
        <v>piece</v>
      </c>
      <c r="E334" t="s">
        <v>114</v>
      </c>
      <c r="F334" t="str">
        <f t="shared" si="5"/>
        <v>cabbage is a very nice food and beverage category that is categorized under fusion cuisine</v>
      </c>
      <c r="G334">
        <f>VLOOKUP(IngredientGenerator!C334,Ingredient!$A$21:$F$111,6,FALSE)</f>
        <v>4.9000000000000004</v>
      </c>
    </row>
    <row r="335" spans="1:7" x14ac:dyDescent="0.25">
      <c r="A335">
        <v>39</v>
      </c>
      <c r="B335" t="s">
        <v>114</v>
      </c>
      <c r="C335" t="str">
        <f>IF(B335="western",randomselection(Ingredient!$A$2:$A$18),IF(B335="asian",randomselection(Ingredient!$B$2:$B$18),IF(B335="fusion",randomselection(Ingredient!$C$2:$C$18),IF(B335="asian",randomselection(Ingredient!$B$2:$B$18),IF(B335="vegetable",randomselection(Ingredient!$D$2:$D$18),randomselection(Ingredient!$E$2:$E$18))))))</f>
        <v>provolone</v>
      </c>
      <c r="D335" t="str">
        <f>VLOOKUP(IngredientGenerator!C335,Ingredient!$A$21:$F$111,2,FALSE)</f>
        <v>package</v>
      </c>
      <c r="E335" t="s">
        <v>114</v>
      </c>
      <c r="F335" t="str">
        <f t="shared" si="5"/>
        <v>provolone is a very nice food and beverage category that is categorized under fusion cuisine</v>
      </c>
      <c r="G335">
        <f>VLOOKUP(IngredientGenerator!C335,Ingredient!$A$21:$F$111,6,FALSE)</f>
        <v>1.2</v>
      </c>
    </row>
    <row r="336" spans="1:7" x14ac:dyDescent="0.25">
      <c r="A336">
        <v>40</v>
      </c>
      <c r="B336" t="s">
        <v>113</v>
      </c>
      <c r="C336" t="str">
        <f>IF(B336="western",randomselection(Ingredient!$A$2:$A$18),IF(B336="asian",randomselection(Ingredient!$B$2:$B$18),IF(B336="fusion",randomselection(Ingredient!$C$2:$C$18),IF(B336="asian",randomselection(Ingredient!$B$2:$B$18),IF(B336="vegetable",randomselection(Ingredient!$D$2:$D$18),randomselection(Ingredient!$E$2:$E$18))))))</f>
        <v>cremini mushrooms</v>
      </c>
      <c r="D336" t="str">
        <f>VLOOKUP(IngredientGenerator!C336,Ingredient!$A$21:$F$111,2,FALSE)</f>
        <v>can</v>
      </c>
      <c r="E336" t="s">
        <v>113</v>
      </c>
      <c r="F336" t="str">
        <f t="shared" si="5"/>
        <v>cremini mushrooms is a very nice food and beverage category that is categorized under asian cuisine</v>
      </c>
      <c r="G336">
        <f>VLOOKUP(IngredientGenerator!C336,Ingredient!$A$21:$F$111,6,FALSE)</f>
        <v>2.4</v>
      </c>
    </row>
    <row r="337" spans="1:7" x14ac:dyDescent="0.25">
      <c r="A337">
        <v>41</v>
      </c>
      <c r="B337" t="s">
        <v>115</v>
      </c>
      <c r="C337" t="str">
        <f>IF(B337="western",randomselection(Ingredient!$A$2:$A$18),IF(B337="asian",randomselection(Ingredient!$B$2:$B$18),IF(B337="fusion",randomselection(Ingredient!$C$2:$C$18),IF(B337="asian",randomselection(Ingredient!$B$2:$B$18),IF(B337="vegetable",randomselection(Ingredient!$D$2:$D$18),randomselection(Ingredient!$E$2:$E$18))))))</f>
        <v>beets</v>
      </c>
      <c r="D337" t="str">
        <f>VLOOKUP(IngredientGenerator!C337,Ingredient!$A$21:$F$111,2,FALSE)</f>
        <v>can</v>
      </c>
      <c r="E337" t="s">
        <v>115</v>
      </c>
      <c r="F337" t="str">
        <f t="shared" si="5"/>
        <v>beets is a very nice food and beverage category that is categorized under vegetable cuisine</v>
      </c>
      <c r="G337">
        <f>VLOOKUP(IngredientGenerator!C337,Ingredient!$A$21:$F$111,6,FALSE)</f>
        <v>3.2</v>
      </c>
    </row>
    <row r="338" spans="1:7" x14ac:dyDescent="0.25">
      <c r="A338">
        <v>42</v>
      </c>
      <c r="B338" t="s">
        <v>114</v>
      </c>
      <c r="C338" t="str">
        <f>IF(B338="western",randomselection(Ingredient!$A$2:$A$18),IF(B338="asian",randomselection(Ingredient!$B$2:$B$18),IF(B338="fusion",randomselection(Ingredient!$C$2:$C$18),IF(B338="asian",randomselection(Ingredient!$B$2:$B$18),IF(B338="vegetable",randomselection(Ingredient!$D$2:$D$18),randomselection(Ingredient!$E$2:$E$18))))))</f>
        <v>cabbage</v>
      </c>
      <c r="D338" t="str">
        <f>VLOOKUP(IngredientGenerator!C338,Ingredient!$A$21:$F$111,2,FALSE)</f>
        <v>piece</v>
      </c>
      <c r="E338" t="s">
        <v>114</v>
      </c>
      <c r="F338" t="str">
        <f t="shared" si="5"/>
        <v>cabbage is a very nice food and beverage category that is categorized under fusion cuisine</v>
      </c>
      <c r="G338">
        <f>VLOOKUP(IngredientGenerator!C338,Ingredient!$A$21:$F$111,6,FALSE)</f>
        <v>4.9000000000000004</v>
      </c>
    </row>
    <row r="339" spans="1:7" x14ac:dyDescent="0.25">
      <c r="A339">
        <v>43</v>
      </c>
      <c r="B339" t="s">
        <v>112</v>
      </c>
      <c r="C339" t="str">
        <f>IF(B339="western",randomselection(Ingredient!$A$2:$A$18),IF(B339="asian",randomselection(Ingredient!$B$2:$B$18),IF(B339="fusion",randomselection(Ingredient!$C$2:$C$18),IF(B339="asian",randomselection(Ingredient!$B$2:$B$18),IF(B339="vegetable",randomselection(Ingredient!$D$2:$D$18),randomselection(Ingredient!$E$2:$E$18))))))</f>
        <v>cream of tartar</v>
      </c>
      <c r="D339" t="str">
        <f>VLOOKUP(IngredientGenerator!C339,Ingredient!$A$21:$F$111,2,FALSE)</f>
        <v>can</v>
      </c>
      <c r="E339" t="s">
        <v>112</v>
      </c>
      <c r="F339" t="str">
        <f t="shared" si="5"/>
        <v>cream of tartar is a very nice food and beverage category that is categorized under western cuisine</v>
      </c>
      <c r="G339">
        <f>VLOOKUP(IngredientGenerator!C339,Ingredient!$A$21:$F$111,6,FALSE)</f>
        <v>2.2000000000000002</v>
      </c>
    </row>
    <row r="340" spans="1:7" x14ac:dyDescent="0.25">
      <c r="A340">
        <v>44</v>
      </c>
      <c r="B340" t="s">
        <v>112</v>
      </c>
      <c r="C340" t="str">
        <f>IF(B340="western",randomselection(Ingredient!$A$2:$A$18),IF(B340="asian",randomselection(Ingredient!$B$2:$B$18),IF(B340="fusion",randomselection(Ingredient!$C$2:$C$18),IF(B340="asian",randomselection(Ingredient!$B$2:$B$18),IF(B340="vegetable",randomselection(Ingredient!$D$2:$D$18),randomselection(Ingredient!$E$2:$E$18))))))</f>
        <v>cream of tartar</v>
      </c>
      <c r="D340" t="str">
        <f>VLOOKUP(IngredientGenerator!C340,Ingredient!$A$21:$F$111,2,FALSE)</f>
        <v>can</v>
      </c>
      <c r="E340" t="s">
        <v>112</v>
      </c>
      <c r="F340" t="str">
        <f t="shared" si="5"/>
        <v>cream of tartar is a very nice food and beverage category that is categorized under western cuisine</v>
      </c>
      <c r="G340">
        <f>VLOOKUP(IngredientGenerator!C340,Ingredient!$A$21:$F$111,6,FALSE)</f>
        <v>2.2000000000000002</v>
      </c>
    </row>
    <row r="341" spans="1:7" x14ac:dyDescent="0.25">
      <c r="A341">
        <v>45</v>
      </c>
      <c r="B341" t="s">
        <v>112</v>
      </c>
      <c r="C341" t="str">
        <f>IF(B341="western",randomselection(Ingredient!$A$2:$A$18),IF(B341="asian",randomselection(Ingredient!$B$2:$B$18),IF(B341="fusion",randomselection(Ingredient!$C$2:$C$18),IF(B341="asian",randomselection(Ingredient!$B$2:$B$18),IF(B341="vegetable",randomselection(Ingredient!$D$2:$D$18),randomselection(Ingredient!$E$2:$E$18))))))</f>
        <v>Canadian bacon</v>
      </c>
      <c r="D341" t="str">
        <f>VLOOKUP(IngredientGenerator!C341,Ingredient!$A$21:$F$111,2,FALSE)</f>
        <v>piece</v>
      </c>
      <c r="E341" t="s">
        <v>112</v>
      </c>
      <c r="F341" t="str">
        <f t="shared" si="5"/>
        <v>Canadian bacon is a very nice food and beverage category that is categorized under western cuisine</v>
      </c>
      <c r="G341">
        <f>VLOOKUP(IngredientGenerator!C341,Ingredient!$A$21:$F$111,6,FALSE)</f>
        <v>1.5</v>
      </c>
    </row>
    <row r="342" spans="1:7" x14ac:dyDescent="0.25">
      <c r="A342">
        <v>46</v>
      </c>
      <c r="B342" t="s">
        <v>115</v>
      </c>
      <c r="C342" t="str">
        <f>IF(B342="western",randomselection(Ingredient!$A$2:$A$18),IF(B342="asian",randomselection(Ingredient!$B$2:$B$18),IF(B342="fusion",randomselection(Ingredient!$C$2:$C$18),IF(B342="asian",randomselection(Ingredient!$B$2:$B$18),IF(B342="vegetable",randomselection(Ingredient!$D$2:$D$18),randomselection(Ingredient!$E$2:$E$18))))))</f>
        <v>flax seed</v>
      </c>
      <c r="D342" t="str">
        <f>VLOOKUP(IngredientGenerator!C342,Ingredient!$A$21:$F$111,2,FALSE)</f>
        <v>can</v>
      </c>
      <c r="E342" t="s">
        <v>115</v>
      </c>
      <c r="F342" t="str">
        <f t="shared" si="5"/>
        <v>flax seed is a very nice food and beverage category that is categorized under vegetable cuisine</v>
      </c>
      <c r="G342">
        <f>VLOOKUP(IngredientGenerator!C342,Ingredient!$A$21:$F$111,6,FALSE)</f>
        <v>1.6</v>
      </c>
    </row>
    <row r="343" spans="1:7" x14ac:dyDescent="0.25">
      <c r="A343">
        <v>47</v>
      </c>
      <c r="B343" t="s">
        <v>114</v>
      </c>
      <c r="C343" t="str">
        <f>IF(B343="western",randomselection(Ingredient!$A$2:$A$18),IF(B343="asian",randomselection(Ingredient!$B$2:$B$18),IF(B343="fusion",randomselection(Ingredient!$C$2:$C$18),IF(B343="asian",randomselection(Ingredient!$B$2:$B$18),IF(B343="vegetable",randomselection(Ingredient!$D$2:$D$18),randomselection(Ingredient!$E$2:$E$18))))))</f>
        <v>feta cheese</v>
      </c>
      <c r="D343" t="str">
        <f>VLOOKUP(IngredientGenerator!C343,Ingredient!$A$21:$F$111,2,FALSE)</f>
        <v>package</v>
      </c>
      <c r="E343" t="s">
        <v>114</v>
      </c>
      <c r="F343" t="str">
        <f t="shared" si="5"/>
        <v>feta cheese is a very nice food and beverage category that is categorized under fusion cuisine</v>
      </c>
      <c r="G343">
        <f>VLOOKUP(IngredientGenerator!C343,Ingredient!$A$21:$F$111,6,FALSE)</f>
        <v>1.7</v>
      </c>
    </row>
    <row r="344" spans="1:7" x14ac:dyDescent="0.25">
      <c r="A344">
        <v>48</v>
      </c>
      <c r="B344" t="s">
        <v>114</v>
      </c>
      <c r="C344" t="str">
        <f>IF(B344="western",randomselection(Ingredient!$A$2:$A$18),IF(B344="asian",randomselection(Ingredient!$B$2:$B$18),IF(B344="fusion",randomselection(Ingredient!$C$2:$C$18),IF(B344="asian",randomselection(Ingredient!$B$2:$B$18),IF(B344="vegetable",randomselection(Ingredient!$D$2:$D$18),randomselection(Ingredient!$E$2:$E$18))))))</f>
        <v>eggplants</v>
      </c>
      <c r="D344" t="str">
        <f>VLOOKUP(IngredientGenerator!C344,Ingredient!$A$21:$F$111,2,FALSE)</f>
        <v>can</v>
      </c>
      <c r="E344" t="s">
        <v>114</v>
      </c>
      <c r="F344" t="str">
        <f t="shared" si="5"/>
        <v>eggplants is a very nice food and beverage category that is categorized under fusion cuisine</v>
      </c>
      <c r="G344">
        <f>VLOOKUP(IngredientGenerator!C344,Ingredient!$A$21:$F$111,6,FALSE)</f>
        <v>5.8</v>
      </c>
    </row>
    <row r="345" spans="1:7" x14ac:dyDescent="0.25">
      <c r="A345">
        <v>49</v>
      </c>
      <c r="B345" t="s">
        <v>114</v>
      </c>
      <c r="C345" t="str">
        <f>IF(B345="western",randomselection(Ingredient!$A$2:$A$18),IF(B345="asian",randomselection(Ingredient!$B$2:$B$18),IF(B345="fusion",randomselection(Ingredient!$C$2:$C$18),IF(B345="asian",randomselection(Ingredient!$B$2:$B$18),IF(B345="vegetable",randomselection(Ingredient!$D$2:$D$18),randomselection(Ingredient!$E$2:$E$18))))))</f>
        <v>cottage cheese</v>
      </c>
      <c r="D345" t="str">
        <f>VLOOKUP(IngredientGenerator!C345,Ingredient!$A$21:$F$111,2,FALSE)</f>
        <v>package</v>
      </c>
      <c r="E345" t="s">
        <v>114</v>
      </c>
      <c r="F345" t="str">
        <f t="shared" si="5"/>
        <v>cottage cheese is a very nice food and beverage category that is categorized under fusion cuisine</v>
      </c>
      <c r="G345">
        <f>VLOOKUP(IngredientGenerator!C345,Ingredient!$A$21:$F$111,6,FALSE)</f>
        <v>3.1</v>
      </c>
    </row>
    <row r="346" spans="1:7" x14ac:dyDescent="0.25">
      <c r="A346">
        <v>50</v>
      </c>
      <c r="B346" t="s">
        <v>114</v>
      </c>
      <c r="C346" t="str">
        <f>IF(B346="western",randomselection(Ingredient!$A$2:$A$18),IF(B346="asian",randomselection(Ingredient!$B$2:$B$18),IF(B346="fusion",randomselection(Ingredient!$C$2:$C$18),IF(B346="asian",randomselection(Ingredient!$B$2:$B$18),IF(B346="vegetable",randomselection(Ingredient!$D$2:$D$18),randomselection(Ingredient!$E$2:$E$18))))))</f>
        <v>hot sauce</v>
      </c>
      <c r="D346" t="str">
        <f>VLOOKUP(IngredientGenerator!C346,Ingredient!$A$21:$F$111,2,FALSE)</f>
        <v>can</v>
      </c>
      <c r="E346" t="s">
        <v>114</v>
      </c>
      <c r="F346" t="str">
        <f t="shared" si="5"/>
        <v>hot sauce is a very nice food and beverage category that is categorized under fusion cuisine</v>
      </c>
      <c r="G346">
        <f>VLOOKUP(IngredientGenerator!C346,Ingredient!$A$21:$F$111,6,FALSE)</f>
        <v>1</v>
      </c>
    </row>
    <row r="347" spans="1:7" x14ac:dyDescent="0.25">
      <c r="A347">
        <v>51</v>
      </c>
      <c r="B347" t="s">
        <v>114</v>
      </c>
      <c r="C347" t="str">
        <f>IF(B347="western",randomselection(Ingredient!$A$2:$A$18),IF(B347="asian",randomselection(Ingredient!$B$2:$B$18),IF(B347="fusion",randomselection(Ingredient!$C$2:$C$18),IF(B347="asian",randomselection(Ingredient!$B$2:$B$18),IF(B347="vegetable",randomselection(Ingredient!$D$2:$D$18),randomselection(Ingredient!$E$2:$E$18))))))</f>
        <v>red pepper flakes</v>
      </c>
      <c r="D347" t="str">
        <f>VLOOKUP(IngredientGenerator!C347,Ingredient!$A$21:$F$111,2,FALSE)</f>
        <v>package</v>
      </c>
      <c r="E347" t="s">
        <v>114</v>
      </c>
      <c r="F347" t="str">
        <f t="shared" si="5"/>
        <v>red pepper flakes is a very nice food and beverage category that is categorized under fusion cuisine</v>
      </c>
      <c r="G347">
        <f>VLOOKUP(IngredientGenerator!C347,Ingredient!$A$21:$F$111,6,FALSE)</f>
        <v>2</v>
      </c>
    </row>
    <row r="348" spans="1:7" x14ac:dyDescent="0.25">
      <c r="A348">
        <v>52</v>
      </c>
      <c r="B348" t="s">
        <v>114</v>
      </c>
      <c r="C348" t="str">
        <f>IF(B348="western",randomselection(Ingredient!$A$2:$A$18),IF(B348="asian",randomselection(Ingredient!$B$2:$B$18),IF(B348="fusion",randomselection(Ingredient!$C$2:$C$18),IF(B348="asian",randomselection(Ingredient!$B$2:$B$18),IF(B348="vegetable",randomselection(Ingredient!$D$2:$D$18),randomselection(Ingredient!$E$2:$E$18))))))</f>
        <v>feta cheese</v>
      </c>
      <c r="D348" t="str">
        <f>VLOOKUP(IngredientGenerator!C348,Ingredient!$A$21:$F$111,2,FALSE)</f>
        <v>package</v>
      </c>
      <c r="E348" t="s">
        <v>114</v>
      </c>
      <c r="F348" t="str">
        <f t="shared" si="5"/>
        <v>feta cheese is a very nice food and beverage category that is categorized under fusion cuisine</v>
      </c>
      <c r="G348">
        <f>VLOOKUP(IngredientGenerator!C348,Ingredient!$A$21:$F$111,6,FALSE)</f>
        <v>1.7</v>
      </c>
    </row>
    <row r="349" spans="1:7" x14ac:dyDescent="0.25">
      <c r="A349">
        <v>53</v>
      </c>
      <c r="B349" t="s">
        <v>113</v>
      </c>
      <c r="C349" t="str">
        <f>IF(B349="western",randomselection(Ingredient!$A$2:$A$18),IF(B349="asian",randomselection(Ingredient!$B$2:$B$18),IF(B349="fusion",randomselection(Ingredient!$C$2:$C$18),IF(B349="asian",randomselection(Ingredient!$B$2:$B$18),IF(B349="vegetable",randomselection(Ingredient!$D$2:$D$18),randomselection(Ingredient!$E$2:$E$18))))))</f>
        <v>gelatin</v>
      </c>
      <c r="D349" t="str">
        <f>VLOOKUP(IngredientGenerator!C349,Ingredient!$A$21:$F$111,2,FALSE)</f>
        <v>can</v>
      </c>
      <c r="E349" t="s">
        <v>113</v>
      </c>
      <c r="F349" t="str">
        <f t="shared" si="5"/>
        <v>gelatin is a very nice food and beverage category that is categorized under asian cuisine</v>
      </c>
      <c r="G349">
        <f>VLOOKUP(IngredientGenerator!C349,Ingredient!$A$21:$F$111,6,FALSE)</f>
        <v>2</v>
      </c>
    </row>
    <row r="350" spans="1:7" x14ac:dyDescent="0.25">
      <c r="A350">
        <v>54</v>
      </c>
      <c r="B350" t="s">
        <v>114</v>
      </c>
      <c r="C350" t="str">
        <f>IF(B350="western",randomselection(Ingredient!$A$2:$A$18),IF(B350="asian",randomselection(Ingredient!$B$2:$B$18),IF(B350="fusion",randomselection(Ingredient!$C$2:$C$18),IF(B350="asian",randomselection(Ingredient!$B$2:$B$18),IF(B350="vegetable",randomselection(Ingredient!$D$2:$D$18),randomselection(Ingredient!$E$2:$E$18))))))</f>
        <v>eggplants</v>
      </c>
      <c r="D350" t="str">
        <f>VLOOKUP(IngredientGenerator!C350,Ingredient!$A$21:$F$111,2,FALSE)</f>
        <v>can</v>
      </c>
      <c r="E350" t="s">
        <v>114</v>
      </c>
      <c r="F350" t="str">
        <f t="shared" si="5"/>
        <v>eggplants is a very nice food and beverage category that is categorized under fusion cuisine</v>
      </c>
      <c r="G350">
        <f>VLOOKUP(IngredientGenerator!C350,Ingredient!$A$21:$F$111,6,FALSE)</f>
        <v>5.8</v>
      </c>
    </row>
    <row r="351" spans="1:7" x14ac:dyDescent="0.25">
      <c r="A351">
        <v>55</v>
      </c>
      <c r="B351" t="s">
        <v>112</v>
      </c>
      <c r="C351" t="str">
        <f>IF(B351="western",randomselection(Ingredient!$A$2:$A$18),IF(B351="asian",randomselection(Ingredient!$B$2:$B$18),IF(B351="fusion",randomselection(Ingredient!$C$2:$C$18),IF(B351="asian",randomselection(Ingredient!$B$2:$B$18),IF(B351="vegetable",randomselection(Ingredient!$D$2:$D$18),randomselection(Ingredient!$E$2:$E$18))))))</f>
        <v>bean threads</v>
      </c>
      <c r="D351" t="str">
        <f>VLOOKUP(IngredientGenerator!C351,Ingredient!$A$21:$F$111,2,FALSE)</f>
        <v>can</v>
      </c>
      <c r="E351" t="s">
        <v>112</v>
      </c>
      <c r="F351" t="str">
        <f t="shared" si="5"/>
        <v>bean threads is a very nice food and beverage category that is categorized under western cuisine</v>
      </c>
      <c r="G351">
        <f>VLOOKUP(IngredientGenerator!C351,Ingredient!$A$21:$F$111,6,FALSE)</f>
        <v>4.8</v>
      </c>
    </row>
    <row r="352" spans="1:7" x14ac:dyDescent="0.25">
      <c r="A352">
        <v>56</v>
      </c>
      <c r="B352" t="s">
        <v>112</v>
      </c>
      <c r="C352" t="str">
        <f>IF(B352="western",randomselection(Ingredient!$A$2:$A$18),IF(B352="asian",randomselection(Ingredient!$B$2:$B$18),IF(B352="fusion",randomselection(Ingredient!$C$2:$C$18),IF(B352="asian",randomselection(Ingredient!$B$2:$B$18),IF(B352="vegetable",randomselection(Ingredient!$D$2:$D$18),randomselection(Ingredient!$E$2:$E$18))))))</f>
        <v>spaghetti squash</v>
      </c>
      <c r="D352" t="str">
        <f>VLOOKUP(IngredientGenerator!C352,Ingredient!$A$21:$F$111,2,FALSE)</f>
        <v>package</v>
      </c>
      <c r="E352" t="s">
        <v>112</v>
      </c>
      <c r="F352" t="str">
        <f t="shared" si="5"/>
        <v>spaghetti squash is a very nice food and beverage category that is categorized under western cuisine</v>
      </c>
      <c r="G352">
        <f>VLOOKUP(IngredientGenerator!C352,Ingredient!$A$21:$F$111,6,FALSE)</f>
        <v>5</v>
      </c>
    </row>
    <row r="353" spans="1:7" x14ac:dyDescent="0.25">
      <c r="A353">
        <v>57</v>
      </c>
      <c r="B353" t="s">
        <v>116</v>
      </c>
      <c r="C353" t="str">
        <f>IF(B353="western",randomselection(Ingredient!$A$2:$A$18),IF(B353="asian",randomselection(Ingredient!$B$2:$B$18),IF(B353="fusion",randomselection(Ingredient!$C$2:$C$18),IF(B353="asian",randomselection(Ingredient!$B$2:$B$18),IF(B353="vegetable",randomselection(Ingredient!$D$2:$D$18),randomselection(Ingredient!$E$2:$E$18))))))</f>
        <v>buckwheat</v>
      </c>
      <c r="D353" t="str">
        <f>VLOOKUP(IngredientGenerator!C353,Ingredient!$A$21:$F$111,2,FALSE)</f>
        <v>package</v>
      </c>
      <c r="E353" t="s">
        <v>116</v>
      </c>
      <c r="F353" t="str">
        <f t="shared" si="5"/>
        <v>buckwheat is a very nice food and beverage category that is categorized under beverage cuisine</v>
      </c>
      <c r="G353">
        <f>VLOOKUP(IngredientGenerator!C353,Ingredient!$A$21:$F$111,6,FALSE)</f>
        <v>5.6</v>
      </c>
    </row>
    <row r="354" spans="1:7" x14ac:dyDescent="0.25">
      <c r="A354">
        <v>58</v>
      </c>
      <c r="B354" t="s">
        <v>112</v>
      </c>
      <c r="C354" t="str">
        <f>IF(B354="western",randomselection(Ingredient!$A$2:$A$18),IF(B354="asian",randomselection(Ingredient!$B$2:$B$18),IF(B354="fusion",randomselection(Ingredient!$C$2:$C$18),IF(B354="asian",randomselection(Ingredient!$B$2:$B$18),IF(B354="vegetable",randomselection(Ingredient!$D$2:$D$18),randomselection(Ingredient!$E$2:$E$18))))))</f>
        <v>french fries</v>
      </c>
      <c r="D354" t="str">
        <f>VLOOKUP(IngredientGenerator!C354,Ingredient!$A$21:$F$111,2,FALSE)</f>
        <v>package</v>
      </c>
      <c r="E354" t="s">
        <v>112</v>
      </c>
      <c r="F354" t="str">
        <f t="shared" si="5"/>
        <v>french fries is a very nice food and beverage category that is categorized under western cuisine</v>
      </c>
      <c r="G354">
        <f>VLOOKUP(IngredientGenerator!C354,Ingredient!$A$21:$F$111,6,FALSE)</f>
        <v>2.2000000000000002</v>
      </c>
    </row>
    <row r="355" spans="1:7" x14ac:dyDescent="0.25">
      <c r="A355">
        <v>59</v>
      </c>
      <c r="B355" t="s">
        <v>112</v>
      </c>
      <c r="C355" t="str">
        <f>IF(B355="western",randomselection(Ingredient!$A$2:$A$18),IF(B355="asian",randomselection(Ingredient!$B$2:$B$18),IF(B355="fusion",randomselection(Ingredient!$C$2:$C$18),IF(B355="asian",randomselection(Ingredient!$B$2:$B$18),IF(B355="vegetable",randomselection(Ingredient!$D$2:$D$18),randomselection(Ingredient!$E$2:$E$18))))))</f>
        <v>Canadian bacon</v>
      </c>
      <c r="D355" t="str">
        <f>VLOOKUP(IngredientGenerator!C355,Ingredient!$A$21:$F$111,2,FALSE)</f>
        <v>piece</v>
      </c>
      <c r="E355" t="s">
        <v>112</v>
      </c>
      <c r="F355" t="str">
        <f t="shared" si="5"/>
        <v>Canadian bacon is a very nice food and beverage category that is categorized under western cuisine</v>
      </c>
      <c r="G355">
        <f>VLOOKUP(IngredientGenerator!C355,Ingredient!$A$21:$F$111,6,FALSE)</f>
        <v>1.5</v>
      </c>
    </row>
    <row r="356" spans="1:7" x14ac:dyDescent="0.25">
      <c r="A356">
        <v>60</v>
      </c>
      <c r="B356" t="s">
        <v>113</v>
      </c>
      <c r="C356" t="str">
        <f>IF(B356="western",randomselection(Ingredient!$A$2:$A$18),IF(B356="asian",randomselection(Ingredient!$B$2:$B$18),IF(B356="fusion",randomselection(Ingredient!$C$2:$C$18),IF(B356="asian",randomselection(Ingredient!$B$2:$B$18),IF(B356="vegetable",randomselection(Ingredient!$D$2:$D$18),randomselection(Ingredient!$E$2:$E$18))))))</f>
        <v>mussels</v>
      </c>
      <c r="D356" t="str">
        <f>VLOOKUP(IngredientGenerator!C356,Ingredient!$A$21:$F$111,2,FALSE)</f>
        <v>package</v>
      </c>
      <c r="E356" t="s">
        <v>113</v>
      </c>
      <c r="F356" t="str">
        <f t="shared" si="5"/>
        <v>mussels is a very nice food and beverage category that is categorized under asian cuisine</v>
      </c>
      <c r="G356">
        <f>VLOOKUP(IngredientGenerator!C356,Ingredient!$A$21:$F$111,6,FALSE)</f>
        <v>6.2</v>
      </c>
    </row>
    <row r="357" spans="1:7" x14ac:dyDescent="0.25">
      <c r="A357">
        <v>61</v>
      </c>
      <c r="B357" t="s">
        <v>113</v>
      </c>
      <c r="C357" t="str">
        <f>IF(B357="western",randomselection(Ingredient!$A$2:$A$18),IF(B357="asian",randomselection(Ingredient!$B$2:$B$18),IF(B357="fusion",randomselection(Ingredient!$C$2:$C$18),IF(B357="asian",randomselection(Ingredient!$B$2:$B$18),IF(B357="vegetable",randomselection(Ingredient!$D$2:$D$18),randomselection(Ingredient!$E$2:$E$18))))))</f>
        <v>mussels</v>
      </c>
      <c r="D357" t="str">
        <f>VLOOKUP(IngredientGenerator!C357,Ingredient!$A$21:$F$111,2,FALSE)</f>
        <v>package</v>
      </c>
      <c r="E357" t="s">
        <v>113</v>
      </c>
      <c r="F357" t="str">
        <f t="shared" si="5"/>
        <v>mussels is a very nice food and beverage category that is categorized under asian cuisine</v>
      </c>
      <c r="G357">
        <f>VLOOKUP(IngredientGenerator!C357,Ingredient!$A$21:$F$111,6,FALSE)</f>
        <v>6.2</v>
      </c>
    </row>
    <row r="358" spans="1:7" x14ac:dyDescent="0.25">
      <c r="A358">
        <v>62</v>
      </c>
      <c r="B358" t="s">
        <v>112</v>
      </c>
      <c r="C358" t="str">
        <f>IF(B358="western",randomselection(Ingredient!$A$2:$A$18),IF(B358="asian",randomselection(Ingredient!$B$2:$B$18),IF(B358="fusion",randomselection(Ingredient!$C$2:$C$18),IF(B358="asian",randomselection(Ingredient!$B$2:$B$18),IF(B358="vegetable",randomselection(Ingredient!$D$2:$D$18),randomselection(Ingredient!$E$2:$E$18))))))</f>
        <v>canola oil</v>
      </c>
      <c r="D358" t="str">
        <f>VLOOKUP(IngredientGenerator!C358,Ingredient!$A$21:$F$111,2,FALSE)</f>
        <v>can</v>
      </c>
      <c r="E358" t="s">
        <v>112</v>
      </c>
      <c r="F358" t="str">
        <f t="shared" si="5"/>
        <v>canola oil is a very nice food and beverage category that is categorized under western cuisine</v>
      </c>
      <c r="G358">
        <f>VLOOKUP(IngredientGenerator!C358,Ingredient!$A$21:$F$111,6,FALSE)</f>
        <v>5.3</v>
      </c>
    </row>
    <row r="359" spans="1:7" x14ac:dyDescent="0.25">
      <c r="A359">
        <v>63</v>
      </c>
      <c r="B359" t="s">
        <v>116</v>
      </c>
      <c r="C359" t="str">
        <f>IF(B359="western",randomselection(Ingredient!$A$2:$A$18),IF(B359="asian",randomselection(Ingredient!$B$2:$B$18),IF(B359="fusion",randomselection(Ingredient!$C$2:$C$18),IF(B359="asian",randomselection(Ingredient!$B$2:$B$18),IF(B359="vegetable",randomselection(Ingredient!$D$2:$D$18),randomselection(Ingredient!$E$2:$E$18))))))</f>
        <v>cayenne pepper</v>
      </c>
      <c r="D359" t="str">
        <f>VLOOKUP(IngredientGenerator!C359,Ingredient!$A$21:$F$111,2,FALSE)</f>
        <v>can</v>
      </c>
      <c r="E359" t="s">
        <v>116</v>
      </c>
      <c r="F359" t="str">
        <f t="shared" si="5"/>
        <v>cayenne pepper is a very nice food and beverage category that is categorized under beverage cuisine</v>
      </c>
      <c r="G359">
        <f>VLOOKUP(IngredientGenerator!C359,Ingredient!$A$21:$F$111,6,FALSE)</f>
        <v>3.1</v>
      </c>
    </row>
    <row r="360" spans="1:7" x14ac:dyDescent="0.25">
      <c r="A360">
        <v>64</v>
      </c>
      <c r="B360" t="s">
        <v>112</v>
      </c>
      <c r="C360" t="str">
        <f>IF(B360="western",randomselection(Ingredient!$A$2:$A$18),IF(B360="asian",randomselection(Ingredient!$B$2:$B$18),IF(B360="fusion",randomselection(Ingredient!$C$2:$C$18),IF(B360="asian",randomselection(Ingredient!$B$2:$B$18),IF(B360="vegetable",randomselection(Ingredient!$D$2:$D$18),randomselection(Ingredient!$E$2:$E$18))))))</f>
        <v>spaghetti squash</v>
      </c>
      <c r="D360" t="str">
        <f>VLOOKUP(IngredientGenerator!C360,Ingredient!$A$21:$F$111,2,FALSE)</f>
        <v>package</v>
      </c>
      <c r="E360" t="s">
        <v>112</v>
      </c>
      <c r="F360" t="str">
        <f t="shared" si="5"/>
        <v>spaghetti squash is a very nice food and beverage category that is categorized under western cuisine</v>
      </c>
      <c r="G360">
        <f>VLOOKUP(IngredientGenerator!C360,Ingredient!$A$21:$F$111,6,FALSE)</f>
        <v>5</v>
      </c>
    </row>
    <row r="361" spans="1:7" x14ac:dyDescent="0.25">
      <c r="A361">
        <v>65</v>
      </c>
      <c r="B361" t="s">
        <v>112</v>
      </c>
      <c r="C361" t="str">
        <f>IF(B361="western",randomselection(Ingredient!$A$2:$A$18),IF(B361="asian",randomselection(Ingredient!$B$2:$B$18),IF(B361="fusion",randomselection(Ingredient!$C$2:$C$18),IF(B361="asian",randomselection(Ingredient!$B$2:$B$18),IF(B361="vegetable",randomselection(Ingredient!$D$2:$D$18),randomselection(Ingredient!$E$2:$E$18))))))</f>
        <v>bean threads</v>
      </c>
      <c r="D361" t="str">
        <f>VLOOKUP(IngredientGenerator!C361,Ingredient!$A$21:$F$111,2,FALSE)</f>
        <v>can</v>
      </c>
      <c r="E361" t="s">
        <v>112</v>
      </c>
      <c r="F361" t="str">
        <f t="shared" si="5"/>
        <v>bean threads is a very nice food and beverage category that is categorized under western cuisine</v>
      </c>
      <c r="G361">
        <f>VLOOKUP(IngredientGenerator!C361,Ingredient!$A$21:$F$111,6,FALSE)</f>
        <v>4.8</v>
      </c>
    </row>
    <row r="362" spans="1:7" x14ac:dyDescent="0.25">
      <c r="A362">
        <v>6</v>
      </c>
      <c r="B362" t="s">
        <v>112</v>
      </c>
      <c r="C362" t="str">
        <f>IF(B362="western",randomselection(Ingredient!$A$2:$A$18),IF(B362="asian",randomselection(Ingredient!$B$2:$B$18),IF(B362="fusion",randomselection(Ingredient!$C$2:$C$18),IF(B362="asian",randomselection(Ingredient!$B$2:$B$18),IF(B362="vegetable",randomselection(Ingredient!$D$2:$D$18),randomselection(Ingredient!$E$2:$E$18))))))</f>
        <v>cream of tartar</v>
      </c>
      <c r="D362" t="str">
        <f>VLOOKUP(IngredientGenerator!C362,Ingredient!$A$21:$F$111,2,FALSE)</f>
        <v>can</v>
      </c>
      <c r="E362" t="s">
        <v>112</v>
      </c>
      <c r="F362" t="str">
        <f t="shared" si="5"/>
        <v>cream of tartar is a very nice food and beverage category that is categorized under western cuisine</v>
      </c>
      <c r="G362">
        <f>VLOOKUP(IngredientGenerator!C362,Ingredient!$A$21:$F$111,6,FALSE)</f>
        <v>2.2000000000000002</v>
      </c>
    </row>
    <row r="363" spans="1:7" x14ac:dyDescent="0.25">
      <c r="A363">
        <v>7</v>
      </c>
      <c r="B363" t="s">
        <v>113</v>
      </c>
      <c r="C363" t="str">
        <f>IF(B363="western",randomselection(Ingredient!$A$2:$A$18),IF(B363="asian",randomselection(Ingredient!$B$2:$B$18),IF(B363="fusion",randomselection(Ingredient!$C$2:$C$18),IF(B363="asian",randomselection(Ingredient!$B$2:$B$18),IF(B363="vegetable",randomselection(Ingredient!$D$2:$D$18),randomselection(Ingredient!$E$2:$E$18))))))</f>
        <v>leeks</v>
      </c>
      <c r="D363" t="str">
        <f>VLOOKUP(IngredientGenerator!C363,Ingredient!$A$21:$F$111,2,FALSE)</f>
        <v>package</v>
      </c>
      <c r="E363" t="s">
        <v>113</v>
      </c>
      <c r="F363" t="str">
        <f t="shared" si="5"/>
        <v>leeks is a very nice food and beverage category that is categorized under asian cuisine</v>
      </c>
      <c r="G363">
        <f>VLOOKUP(IngredientGenerator!C363,Ingredient!$A$21:$F$111,6,FALSE)</f>
        <v>4.5999999999999996</v>
      </c>
    </row>
    <row r="364" spans="1:7" x14ac:dyDescent="0.25">
      <c r="A364">
        <v>8</v>
      </c>
      <c r="B364" t="s">
        <v>114</v>
      </c>
      <c r="C364" t="str">
        <f>IF(B364="western",randomselection(Ingredient!$A$2:$A$18),IF(B364="asian",randomselection(Ingredient!$B$2:$B$18),IF(B364="fusion",randomselection(Ingredient!$C$2:$C$18),IF(B364="asian",randomselection(Ingredient!$B$2:$B$18),IF(B364="vegetable",randomselection(Ingredient!$D$2:$D$18),randomselection(Ingredient!$E$2:$E$18))))))</f>
        <v>hot sauce</v>
      </c>
      <c r="D364" t="str">
        <f>VLOOKUP(IngredientGenerator!C364,Ingredient!$A$21:$F$111,2,FALSE)</f>
        <v>can</v>
      </c>
      <c r="E364" t="s">
        <v>114</v>
      </c>
      <c r="F364" t="str">
        <f t="shared" si="5"/>
        <v>hot sauce is a very nice food and beverage category that is categorized under fusion cuisine</v>
      </c>
      <c r="G364">
        <f>VLOOKUP(IngredientGenerator!C364,Ingredient!$A$21:$F$111,6,FALSE)</f>
        <v>1</v>
      </c>
    </row>
    <row r="365" spans="1:7" x14ac:dyDescent="0.25">
      <c r="A365">
        <v>9</v>
      </c>
      <c r="B365" t="s">
        <v>114</v>
      </c>
      <c r="C365" t="str">
        <f>IF(B365="western",randomselection(Ingredient!$A$2:$A$18),IF(B365="asian",randomselection(Ingredient!$B$2:$B$18),IF(B365="fusion",randomselection(Ingredient!$C$2:$C$18),IF(B365="asian",randomselection(Ingredient!$B$2:$B$18),IF(B365="vegetable",randomselection(Ingredient!$D$2:$D$18),randomselection(Ingredient!$E$2:$E$18))))))</f>
        <v>provolone</v>
      </c>
      <c r="D365" t="str">
        <f>VLOOKUP(IngredientGenerator!C365,Ingredient!$A$21:$F$111,2,FALSE)</f>
        <v>package</v>
      </c>
      <c r="E365" t="s">
        <v>114</v>
      </c>
      <c r="F365" t="str">
        <f t="shared" si="5"/>
        <v>provolone is a very nice food and beverage category that is categorized under fusion cuisine</v>
      </c>
      <c r="G365">
        <f>VLOOKUP(IngredientGenerator!C365,Ingredient!$A$21:$F$111,6,FALSE)</f>
        <v>1.2</v>
      </c>
    </row>
    <row r="366" spans="1:7" x14ac:dyDescent="0.25">
      <c r="A366">
        <v>10</v>
      </c>
      <c r="B366" t="s">
        <v>115</v>
      </c>
      <c r="C366" t="str">
        <f>IF(B366="western",randomselection(Ingredient!$A$2:$A$18),IF(B366="asian",randomselection(Ingredient!$B$2:$B$18),IF(B366="fusion",randomselection(Ingredient!$C$2:$C$18),IF(B366="asian",randomselection(Ingredient!$B$2:$B$18),IF(B366="vegetable",randomselection(Ingredient!$D$2:$D$18),randomselection(Ingredient!$E$2:$E$18))))))</f>
        <v>flax seed</v>
      </c>
      <c r="D366" t="str">
        <f>VLOOKUP(IngredientGenerator!C366,Ingredient!$A$21:$F$111,2,FALSE)</f>
        <v>can</v>
      </c>
      <c r="E366" t="s">
        <v>115</v>
      </c>
      <c r="F366" t="str">
        <f t="shared" si="5"/>
        <v>flax seed is a very nice food and beverage category that is categorized under vegetable cuisine</v>
      </c>
      <c r="G366">
        <f>VLOOKUP(IngredientGenerator!C366,Ingredient!$A$21:$F$111,6,FALSE)</f>
        <v>1.6</v>
      </c>
    </row>
    <row r="367" spans="1:7" x14ac:dyDescent="0.25">
      <c r="A367">
        <v>11</v>
      </c>
      <c r="B367" t="s">
        <v>116</v>
      </c>
      <c r="C367" t="str">
        <f>IF(B367="western",randomselection(Ingredient!$A$2:$A$18),IF(B367="asian",randomselection(Ingredient!$B$2:$B$18),IF(B367="fusion",randomselection(Ingredient!$C$2:$C$18),IF(B367="asian",randomselection(Ingredient!$B$2:$B$18),IF(B367="vegetable",randomselection(Ingredient!$D$2:$D$18),randomselection(Ingredient!$E$2:$E$18))))))</f>
        <v>brandy</v>
      </c>
      <c r="D367" t="str">
        <f>VLOOKUP(IngredientGenerator!C367,Ingredient!$A$21:$F$111,2,FALSE)</f>
        <v>bottle</v>
      </c>
      <c r="E367" t="s">
        <v>116</v>
      </c>
      <c r="F367" t="str">
        <f t="shared" si="5"/>
        <v>brandy is a very nice food and beverage category that is categorized under beverage cuisine</v>
      </c>
      <c r="G367">
        <f>VLOOKUP(IngredientGenerator!C367,Ingredient!$A$21:$F$111,6,FALSE)</f>
        <v>10.7</v>
      </c>
    </row>
    <row r="368" spans="1:7" x14ac:dyDescent="0.25">
      <c r="A368">
        <v>12</v>
      </c>
      <c r="B368" t="s">
        <v>116</v>
      </c>
      <c r="C368" t="str">
        <f>IF(B368="western",randomselection(Ingredient!$A$2:$A$18),IF(B368="asian",randomselection(Ingredient!$B$2:$B$18),IF(B368="fusion",randomselection(Ingredient!$C$2:$C$18),IF(B368="asian",randomselection(Ingredient!$B$2:$B$18),IF(B368="vegetable",randomselection(Ingredient!$D$2:$D$18),randomselection(Ingredient!$E$2:$E$18))))))</f>
        <v>chard</v>
      </c>
      <c r="D368" t="str">
        <f>VLOOKUP(IngredientGenerator!C368,Ingredient!$A$21:$F$111,2,FALSE)</f>
        <v>can</v>
      </c>
      <c r="E368" t="s">
        <v>116</v>
      </c>
      <c r="F368" t="str">
        <f t="shared" si="5"/>
        <v>chard is a very nice food and beverage category that is categorized under beverage cuisine</v>
      </c>
      <c r="G368">
        <f>VLOOKUP(IngredientGenerator!C368,Ingredient!$A$21:$F$111,6,FALSE)</f>
        <v>3.9</v>
      </c>
    </row>
    <row r="369" spans="1:7" x14ac:dyDescent="0.25">
      <c r="A369">
        <v>13</v>
      </c>
      <c r="B369" t="s">
        <v>116</v>
      </c>
      <c r="C369" t="str">
        <f>IF(B369="western",randomselection(Ingredient!$A$2:$A$18),IF(B369="asian",randomselection(Ingredient!$B$2:$B$18),IF(B369="fusion",randomselection(Ingredient!$C$2:$C$18),IF(B369="asian",randomselection(Ingredient!$B$2:$B$18),IF(B369="vegetable",randomselection(Ingredient!$D$2:$D$18),randomselection(Ingredient!$E$2:$E$18))))))</f>
        <v>baking soda</v>
      </c>
      <c r="D369" t="str">
        <f>VLOOKUP(IngredientGenerator!C369,Ingredient!$A$21:$F$111,2,FALSE)</f>
        <v>can</v>
      </c>
      <c r="E369" t="s">
        <v>116</v>
      </c>
      <c r="F369" t="str">
        <f t="shared" si="5"/>
        <v>baking soda is a very nice food and beverage category that is categorized under beverage cuisine</v>
      </c>
      <c r="G369">
        <f>VLOOKUP(IngredientGenerator!C369,Ingredient!$A$21:$F$111,6,FALSE)</f>
        <v>3.9</v>
      </c>
    </row>
    <row r="370" spans="1:7" x14ac:dyDescent="0.25">
      <c r="A370">
        <v>14</v>
      </c>
      <c r="B370" t="s">
        <v>113</v>
      </c>
      <c r="C370" t="str">
        <f>IF(B370="western",randomselection(Ingredient!$A$2:$A$18),IF(B370="asian",randomselection(Ingredient!$B$2:$B$18),IF(B370="fusion",randomselection(Ingredient!$C$2:$C$18),IF(B370="asian",randomselection(Ingredient!$B$2:$B$18),IF(B370="vegetable",randomselection(Ingredient!$D$2:$D$18),randomselection(Ingredient!$E$2:$E$18))))))</f>
        <v>mussels</v>
      </c>
      <c r="D370" t="str">
        <f>VLOOKUP(IngredientGenerator!C370,Ingredient!$A$21:$F$111,2,FALSE)</f>
        <v>package</v>
      </c>
      <c r="E370" t="s">
        <v>113</v>
      </c>
      <c r="F370" t="str">
        <f t="shared" si="5"/>
        <v>mussels is a very nice food and beverage category that is categorized under asian cuisine</v>
      </c>
      <c r="G370">
        <f>VLOOKUP(IngredientGenerator!C370,Ingredient!$A$21:$F$111,6,FALSE)</f>
        <v>6.2</v>
      </c>
    </row>
    <row r="371" spans="1:7" x14ac:dyDescent="0.25">
      <c r="A371">
        <v>15</v>
      </c>
      <c r="B371" t="s">
        <v>116</v>
      </c>
      <c r="C371" t="str">
        <f>IF(B371="western",randomselection(Ingredient!$A$2:$A$18),IF(B371="asian",randomselection(Ingredient!$B$2:$B$18),IF(B371="fusion",randomselection(Ingredient!$C$2:$C$18),IF(B371="asian",randomselection(Ingredient!$B$2:$B$18),IF(B371="vegetable",randomselection(Ingredient!$D$2:$D$18),randomselection(Ingredient!$E$2:$E$18))))))</f>
        <v>Marsala</v>
      </c>
      <c r="D371" t="str">
        <f>VLOOKUP(IngredientGenerator!C371,Ingredient!$A$21:$F$111,2,FALSE)</f>
        <v>can</v>
      </c>
      <c r="E371" t="s">
        <v>116</v>
      </c>
      <c r="F371" t="str">
        <f t="shared" si="5"/>
        <v>Marsala is a very nice food and beverage category that is categorized under beverage cuisine</v>
      </c>
      <c r="G371">
        <f>VLOOKUP(IngredientGenerator!C371,Ingredient!$A$21:$F$111,6,FALSE)</f>
        <v>5.0999999999999996</v>
      </c>
    </row>
    <row r="372" spans="1:7" x14ac:dyDescent="0.25">
      <c r="A372">
        <v>16</v>
      </c>
      <c r="B372" t="s">
        <v>114</v>
      </c>
      <c r="C372" t="str">
        <f>IF(B372="western",randomselection(Ingredient!$A$2:$A$18),IF(B372="asian",randomselection(Ingredient!$B$2:$B$18),IF(B372="fusion",randomselection(Ingredient!$C$2:$C$18),IF(B372="asian",randomselection(Ingredient!$B$2:$B$18),IF(B372="vegetable",randomselection(Ingredient!$D$2:$D$18),randomselection(Ingredient!$E$2:$E$18))))))</f>
        <v>cabbage</v>
      </c>
      <c r="D372" t="str">
        <f>VLOOKUP(IngredientGenerator!C372,Ingredient!$A$21:$F$111,2,FALSE)</f>
        <v>piece</v>
      </c>
      <c r="E372" t="s">
        <v>114</v>
      </c>
      <c r="F372" t="str">
        <f t="shared" si="5"/>
        <v>cabbage is a very nice food and beverage category that is categorized under fusion cuisine</v>
      </c>
      <c r="G372">
        <f>VLOOKUP(IngredientGenerator!C372,Ingredient!$A$21:$F$111,6,FALSE)</f>
        <v>4.9000000000000004</v>
      </c>
    </row>
    <row r="373" spans="1:7" x14ac:dyDescent="0.25">
      <c r="A373">
        <v>17</v>
      </c>
      <c r="B373" t="s">
        <v>113</v>
      </c>
      <c r="C373" t="str">
        <f>IF(B373="western",randomselection(Ingredient!$A$2:$A$18),IF(B373="asian",randomselection(Ingredient!$B$2:$B$18),IF(B373="fusion",randomselection(Ingredient!$C$2:$C$18),IF(B373="asian",randomselection(Ingredient!$B$2:$B$18),IF(B373="vegetable",randomselection(Ingredient!$D$2:$D$18),randomselection(Ingredient!$E$2:$E$18))))))</f>
        <v>grouper</v>
      </c>
      <c r="D373" t="str">
        <f>VLOOKUP(IngredientGenerator!C373,Ingredient!$A$21:$F$111,2,FALSE)</f>
        <v>piece</v>
      </c>
      <c r="E373" t="s">
        <v>113</v>
      </c>
      <c r="F373" t="str">
        <f t="shared" si="5"/>
        <v>grouper is a very nice food and beverage category that is categorized under asian cuisine</v>
      </c>
      <c r="G373">
        <f>VLOOKUP(IngredientGenerator!C373,Ingredient!$A$21:$F$111,6,FALSE)</f>
        <v>5.2</v>
      </c>
    </row>
    <row r="374" spans="1:7" x14ac:dyDescent="0.25">
      <c r="A374">
        <v>18</v>
      </c>
      <c r="B374" t="s">
        <v>114</v>
      </c>
      <c r="C374" t="str">
        <f>IF(B374="western",randomselection(Ingredient!$A$2:$A$18),IF(B374="asian",randomselection(Ingredient!$B$2:$B$18),IF(B374="fusion",randomselection(Ingredient!$C$2:$C$18),IF(B374="asian",randomselection(Ingredient!$B$2:$B$18),IF(B374="vegetable",randomselection(Ingredient!$D$2:$D$18),randomselection(Ingredient!$E$2:$E$18))))))</f>
        <v>ricotta cheese</v>
      </c>
      <c r="D374" t="str">
        <f>VLOOKUP(IngredientGenerator!C374,Ingredient!$A$21:$F$111,2,FALSE)</f>
        <v>package</v>
      </c>
      <c r="E374" t="s">
        <v>114</v>
      </c>
      <c r="F374" t="str">
        <f t="shared" si="5"/>
        <v>ricotta cheese is a very nice food and beverage category that is categorized under fusion cuisine</v>
      </c>
      <c r="G374">
        <f>VLOOKUP(IngredientGenerator!C374,Ingredient!$A$21:$F$111,6,FALSE)</f>
        <v>1.4</v>
      </c>
    </row>
    <row r="375" spans="1:7" x14ac:dyDescent="0.25">
      <c r="A375">
        <v>19</v>
      </c>
      <c r="B375" t="s">
        <v>114</v>
      </c>
      <c r="C375" t="str">
        <f>IF(B375="western",randomselection(Ingredient!$A$2:$A$18),IF(B375="asian",randomselection(Ingredient!$B$2:$B$18),IF(B375="fusion",randomselection(Ingredient!$C$2:$C$18),IF(B375="asian",randomselection(Ingredient!$B$2:$B$18),IF(B375="vegetable",randomselection(Ingredient!$D$2:$D$18),randomselection(Ingredient!$E$2:$E$18))))))</f>
        <v>spearmint</v>
      </c>
      <c r="D375" t="str">
        <f>VLOOKUP(IngredientGenerator!C375,Ingredient!$A$21:$F$111,2,FALSE)</f>
        <v>package</v>
      </c>
      <c r="E375" t="s">
        <v>114</v>
      </c>
      <c r="F375" t="str">
        <f t="shared" si="5"/>
        <v>spearmint is a very nice food and beverage category that is categorized under fusion cuisine</v>
      </c>
      <c r="G375">
        <f>VLOOKUP(IngredientGenerator!C375,Ingredient!$A$21:$F$111,6,FALSE)</f>
        <v>4</v>
      </c>
    </row>
    <row r="376" spans="1:7" x14ac:dyDescent="0.25">
      <c r="A376">
        <v>20</v>
      </c>
      <c r="B376" t="s">
        <v>114</v>
      </c>
      <c r="C376" t="str">
        <f>IF(B376="western",randomselection(Ingredient!$A$2:$A$18),IF(B376="asian",randomselection(Ingredient!$B$2:$B$18),IF(B376="fusion",randomselection(Ingredient!$C$2:$C$18),IF(B376="asian",randomselection(Ingredient!$B$2:$B$18),IF(B376="vegetable",randomselection(Ingredient!$D$2:$D$18),randomselection(Ingredient!$E$2:$E$18))))))</f>
        <v>eggplants</v>
      </c>
      <c r="D376" t="str">
        <f>VLOOKUP(IngredientGenerator!C376,Ingredient!$A$21:$F$111,2,FALSE)</f>
        <v>can</v>
      </c>
      <c r="E376" t="s">
        <v>114</v>
      </c>
      <c r="F376" t="str">
        <f t="shared" si="5"/>
        <v>eggplants is a very nice food and beverage category that is categorized under fusion cuisine</v>
      </c>
      <c r="G376">
        <f>VLOOKUP(IngredientGenerator!C376,Ingredient!$A$21:$F$111,6,FALSE)</f>
        <v>5.8</v>
      </c>
    </row>
    <row r="377" spans="1:7" x14ac:dyDescent="0.25">
      <c r="A377">
        <v>21</v>
      </c>
      <c r="B377" t="s">
        <v>113</v>
      </c>
      <c r="C377" t="str">
        <f>IF(B377="western",randomselection(Ingredient!$A$2:$A$18),IF(B377="asian",randomselection(Ingredient!$B$2:$B$18),IF(B377="fusion",randomselection(Ingredient!$C$2:$C$18),IF(B377="asian",randomselection(Ingredient!$B$2:$B$18),IF(B377="vegetable",randomselection(Ingredient!$D$2:$D$18),randomselection(Ingredient!$E$2:$E$18))))))</f>
        <v>grouper</v>
      </c>
      <c r="D377" t="str">
        <f>VLOOKUP(IngredientGenerator!C377,Ingredient!$A$21:$F$111,2,FALSE)</f>
        <v>piece</v>
      </c>
      <c r="E377" t="s">
        <v>113</v>
      </c>
      <c r="F377" t="str">
        <f t="shared" si="5"/>
        <v>grouper is a very nice food and beverage category that is categorized under asian cuisine</v>
      </c>
      <c r="G377">
        <f>VLOOKUP(IngredientGenerator!C377,Ingredient!$A$21:$F$111,6,FALSE)</f>
        <v>5.2</v>
      </c>
    </row>
    <row r="378" spans="1:7" x14ac:dyDescent="0.25">
      <c r="A378">
        <v>22</v>
      </c>
      <c r="B378" t="s">
        <v>116</v>
      </c>
      <c r="C378" t="str">
        <f>IF(B378="western",randomselection(Ingredient!$A$2:$A$18),IF(B378="asian",randomselection(Ingredient!$B$2:$B$18),IF(B378="fusion",randomselection(Ingredient!$C$2:$C$18),IF(B378="asian",randomselection(Ingredient!$B$2:$B$18),IF(B378="vegetable",randomselection(Ingredient!$D$2:$D$18),randomselection(Ingredient!$E$2:$E$18))))))</f>
        <v>fennel</v>
      </c>
      <c r="D378" t="str">
        <f>VLOOKUP(IngredientGenerator!C378,Ingredient!$A$21:$F$111,2,FALSE)</f>
        <v>can</v>
      </c>
      <c r="E378" t="s">
        <v>116</v>
      </c>
      <c r="F378" t="str">
        <f t="shared" si="5"/>
        <v>fennel is a very nice food and beverage category that is categorized under beverage cuisine</v>
      </c>
      <c r="G378">
        <f>VLOOKUP(IngredientGenerator!C378,Ingredient!$A$21:$F$111,6,FALSE)</f>
        <v>4</v>
      </c>
    </row>
    <row r="379" spans="1:7" x14ac:dyDescent="0.25">
      <c r="A379">
        <v>23</v>
      </c>
      <c r="B379" t="s">
        <v>112</v>
      </c>
      <c r="C379" t="str">
        <f>IF(B379="western",randomselection(Ingredient!$A$2:$A$18),IF(B379="asian",randomselection(Ingredient!$B$2:$B$18),IF(B379="fusion",randomselection(Ingredient!$C$2:$C$18),IF(B379="asian",randomselection(Ingredient!$B$2:$B$18),IF(B379="vegetable",randomselection(Ingredient!$D$2:$D$18),randomselection(Ingredient!$E$2:$E$18))))))</f>
        <v>ale</v>
      </c>
      <c r="D379" t="str">
        <f>VLOOKUP(IngredientGenerator!C379,Ingredient!$A$21:$F$111,2,FALSE)</f>
        <v>package</v>
      </c>
      <c r="E379" t="s">
        <v>112</v>
      </c>
      <c r="F379" t="str">
        <f t="shared" si="5"/>
        <v>ale is a very nice food and beverage category that is categorized under western cuisine</v>
      </c>
      <c r="G379">
        <f>VLOOKUP(IngredientGenerator!C379,Ingredient!$A$21:$F$111,6,FALSE)</f>
        <v>2.2999999999999998</v>
      </c>
    </row>
    <row r="380" spans="1:7" x14ac:dyDescent="0.25">
      <c r="A380">
        <v>24</v>
      </c>
      <c r="B380" t="s">
        <v>112</v>
      </c>
      <c r="C380" t="str">
        <f>IF(B380="western",randomselection(Ingredient!$A$2:$A$18),IF(B380="asian",randomselection(Ingredient!$B$2:$B$18),IF(B380="fusion",randomselection(Ingredient!$C$2:$C$18),IF(B380="asian",randomselection(Ingredient!$B$2:$B$18),IF(B380="vegetable",randomselection(Ingredient!$D$2:$D$18),randomselection(Ingredient!$E$2:$E$18))))))</f>
        <v>poppy seeds</v>
      </c>
      <c r="D380" t="str">
        <f>VLOOKUP(IngredientGenerator!C380,Ingredient!$A$21:$F$111,2,FALSE)</f>
        <v>can</v>
      </c>
      <c r="E380" t="s">
        <v>112</v>
      </c>
      <c r="F380" t="str">
        <f t="shared" si="5"/>
        <v>poppy seeds is a very nice food and beverage category that is categorized under western cuisine</v>
      </c>
      <c r="G380">
        <f>VLOOKUP(IngredientGenerator!C380,Ingredient!$A$21:$F$111,6,FALSE)</f>
        <v>3.7</v>
      </c>
    </row>
    <row r="381" spans="1:7" x14ac:dyDescent="0.25">
      <c r="A381">
        <v>25</v>
      </c>
      <c r="B381" t="s">
        <v>113</v>
      </c>
      <c r="C381" t="str">
        <f>IF(B381="western",randomselection(Ingredient!$A$2:$A$18),IF(B381="asian",randomselection(Ingredient!$B$2:$B$18),IF(B381="fusion",randomselection(Ingredient!$C$2:$C$18),IF(B381="asian",randomselection(Ingredient!$B$2:$B$18),IF(B381="vegetable",randomselection(Ingredient!$D$2:$D$18),randomselection(Ingredient!$E$2:$E$18))))))</f>
        <v>red snapper</v>
      </c>
      <c r="D381" t="str">
        <f>VLOOKUP(IngredientGenerator!C381,Ingredient!$A$21:$F$111,2,FALSE)</f>
        <v>piece</v>
      </c>
      <c r="E381" t="s">
        <v>113</v>
      </c>
      <c r="F381" t="str">
        <f t="shared" si="5"/>
        <v>red snapper is a very nice food and beverage category that is categorized under asian cuisine</v>
      </c>
      <c r="G381">
        <f>VLOOKUP(IngredientGenerator!C381,Ingredient!$A$21:$F$111,6,FALSE)</f>
        <v>10</v>
      </c>
    </row>
    <row r="382" spans="1:7" x14ac:dyDescent="0.25">
      <c r="A382">
        <v>26</v>
      </c>
      <c r="B382" t="s">
        <v>112</v>
      </c>
      <c r="C382" t="str">
        <f>IF(B382="western",randomselection(Ingredient!$A$2:$A$18),IF(B382="asian",randomselection(Ingredient!$B$2:$B$18),IF(B382="fusion",randomselection(Ingredient!$C$2:$C$18),IF(B382="asian",randomselection(Ingredient!$B$2:$B$18),IF(B382="vegetable",randomselection(Ingredient!$D$2:$D$18),randomselection(Ingredient!$E$2:$E$18))))))</f>
        <v>sauerkraut</v>
      </c>
      <c r="D382" t="str">
        <f>VLOOKUP(IngredientGenerator!C382,Ingredient!$A$21:$F$111,2,FALSE)</f>
        <v>can</v>
      </c>
      <c r="E382" t="s">
        <v>112</v>
      </c>
      <c r="F382" t="str">
        <f t="shared" si="5"/>
        <v>sauerkraut is a very nice food and beverage category that is categorized under western cuisine</v>
      </c>
      <c r="G382">
        <f>VLOOKUP(IngredientGenerator!C382,Ingredient!$A$21:$F$111,6,FALSE)</f>
        <v>4</v>
      </c>
    </row>
    <row r="383" spans="1:7" x14ac:dyDescent="0.25">
      <c r="A383">
        <v>27</v>
      </c>
      <c r="B383" t="s">
        <v>112</v>
      </c>
      <c r="C383" t="str">
        <f>IF(B383="western",randomselection(Ingredient!$A$2:$A$18),IF(B383="asian",randomselection(Ingredient!$B$2:$B$18),IF(B383="fusion",randomselection(Ingredient!$C$2:$C$18),IF(B383="asian",randomselection(Ingredient!$B$2:$B$18),IF(B383="vegetable",randomselection(Ingredient!$D$2:$D$18),randomselection(Ingredient!$E$2:$E$18))))))</f>
        <v>acorn squash</v>
      </c>
      <c r="D383" t="str">
        <f>VLOOKUP(IngredientGenerator!C383,Ingredient!$A$21:$F$111,2,FALSE)</f>
        <v>package</v>
      </c>
      <c r="E383" t="s">
        <v>112</v>
      </c>
      <c r="F383" t="str">
        <f t="shared" si="5"/>
        <v>acorn squash is a very nice food and beverage category that is categorized under western cuisine</v>
      </c>
      <c r="G383">
        <f>VLOOKUP(IngredientGenerator!C383,Ingredient!$A$21:$F$111,6,FALSE)</f>
        <v>2.9</v>
      </c>
    </row>
    <row r="384" spans="1:7" x14ac:dyDescent="0.25">
      <c r="A384">
        <v>28</v>
      </c>
      <c r="B384" t="s">
        <v>114</v>
      </c>
      <c r="C384" t="str">
        <f>IF(B384="western",randomselection(Ingredient!$A$2:$A$18),IF(B384="asian",randomselection(Ingredient!$B$2:$B$18),IF(B384="fusion",randomselection(Ingredient!$C$2:$C$18),IF(B384="asian",randomselection(Ingredient!$B$2:$B$18),IF(B384="vegetable",randomselection(Ingredient!$D$2:$D$18),randomselection(Ingredient!$E$2:$E$18))))))</f>
        <v>feta cheese</v>
      </c>
      <c r="D384" t="str">
        <f>VLOOKUP(IngredientGenerator!C384,Ingredient!$A$21:$F$111,2,FALSE)</f>
        <v>package</v>
      </c>
      <c r="E384" t="s">
        <v>114</v>
      </c>
      <c r="F384" t="str">
        <f t="shared" si="5"/>
        <v>feta cheese is a very nice food and beverage category that is categorized under fusion cuisine</v>
      </c>
      <c r="G384">
        <f>VLOOKUP(IngredientGenerator!C384,Ingredient!$A$21:$F$111,6,FALSE)</f>
        <v>1.7</v>
      </c>
    </row>
    <row r="385" spans="1:7" x14ac:dyDescent="0.25">
      <c r="A385">
        <v>29</v>
      </c>
      <c r="B385" t="s">
        <v>114</v>
      </c>
      <c r="C385" t="str">
        <f>IF(B385="western",randomselection(Ingredient!$A$2:$A$18),IF(B385="asian",randomselection(Ingredient!$B$2:$B$18),IF(B385="fusion",randomselection(Ingredient!$C$2:$C$18),IF(B385="asian",randomselection(Ingredient!$B$2:$B$18),IF(B385="vegetable",randomselection(Ingredient!$D$2:$D$18),randomselection(Ingredient!$E$2:$E$18))))))</f>
        <v>peaches</v>
      </c>
      <c r="D385" t="str">
        <f>VLOOKUP(IngredientGenerator!C385,Ingredient!$A$21:$F$111,2,FALSE)</f>
        <v>can</v>
      </c>
      <c r="E385" t="s">
        <v>114</v>
      </c>
      <c r="F385" t="str">
        <f t="shared" si="5"/>
        <v>peaches is a very nice food and beverage category that is categorized under fusion cuisine</v>
      </c>
      <c r="G385">
        <f>VLOOKUP(IngredientGenerator!C385,Ingredient!$A$21:$F$111,6,FALSE)</f>
        <v>2.2000000000000002</v>
      </c>
    </row>
    <row r="386" spans="1:7" x14ac:dyDescent="0.25">
      <c r="A386">
        <v>30</v>
      </c>
      <c r="B386" t="s">
        <v>116</v>
      </c>
      <c r="C386" t="str">
        <f>IF(B386="western",randomselection(Ingredient!$A$2:$A$18),IF(B386="asian",randomselection(Ingredient!$B$2:$B$18),IF(B386="fusion",randomselection(Ingredient!$C$2:$C$18),IF(B386="asian",randomselection(Ingredient!$B$2:$B$18),IF(B386="vegetable",randomselection(Ingredient!$D$2:$D$18),randomselection(Ingredient!$E$2:$E$18))))))</f>
        <v>baking soda</v>
      </c>
      <c r="D386" t="str">
        <f>VLOOKUP(IngredientGenerator!C386,Ingredient!$A$21:$F$111,2,FALSE)</f>
        <v>can</v>
      </c>
      <c r="E386" t="s">
        <v>116</v>
      </c>
      <c r="F386" t="str">
        <f t="shared" ref="F386:F449" si="6">CONCATENATE(C386," is a very nice food and beverage category that is categorized under ",E386," cuisine")</f>
        <v>baking soda is a very nice food and beverage category that is categorized under beverage cuisine</v>
      </c>
      <c r="G386">
        <f>VLOOKUP(IngredientGenerator!C386,Ingredient!$A$21:$F$111,6,FALSE)</f>
        <v>3.9</v>
      </c>
    </row>
    <row r="387" spans="1:7" x14ac:dyDescent="0.25">
      <c r="A387">
        <v>31</v>
      </c>
      <c r="B387" t="s">
        <v>116</v>
      </c>
      <c r="C387" t="str">
        <f>IF(B387="western",randomselection(Ingredient!$A$2:$A$18),IF(B387="asian",randomselection(Ingredient!$B$2:$B$18),IF(B387="fusion",randomselection(Ingredient!$C$2:$C$18),IF(B387="asian",randomselection(Ingredient!$B$2:$B$18),IF(B387="vegetable",randomselection(Ingredient!$D$2:$D$18),randomselection(Ingredient!$E$2:$E$18))))))</f>
        <v>rose water</v>
      </c>
      <c r="D387" t="str">
        <f>VLOOKUP(IngredientGenerator!C387,Ingredient!$A$21:$F$111,2,FALSE)</f>
        <v>bottle</v>
      </c>
      <c r="E387" t="s">
        <v>116</v>
      </c>
      <c r="F387" t="str">
        <f t="shared" si="6"/>
        <v>rose water is a very nice food and beverage category that is categorized under beverage cuisine</v>
      </c>
      <c r="G387">
        <f>VLOOKUP(IngredientGenerator!C387,Ingredient!$A$21:$F$111,6,FALSE)</f>
        <v>8.9</v>
      </c>
    </row>
    <row r="388" spans="1:7" x14ac:dyDescent="0.25">
      <c r="A388">
        <v>32</v>
      </c>
      <c r="B388" t="s">
        <v>114</v>
      </c>
      <c r="C388" t="str">
        <f>IF(B388="western",randomselection(Ingredient!$A$2:$A$18),IF(B388="asian",randomselection(Ingredient!$B$2:$B$18),IF(B388="fusion",randomselection(Ingredient!$C$2:$C$18),IF(B388="asian",randomselection(Ingredient!$B$2:$B$18),IF(B388="vegetable",randomselection(Ingredient!$D$2:$D$18),randomselection(Ingredient!$E$2:$E$18))))))</f>
        <v>hot sauce</v>
      </c>
      <c r="D388" t="str">
        <f>VLOOKUP(IngredientGenerator!C388,Ingredient!$A$21:$F$111,2,FALSE)</f>
        <v>can</v>
      </c>
      <c r="E388" t="s">
        <v>114</v>
      </c>
      <c r="F388" t="str">
        <f t="shared" si="6"/>
        <v>hot sauce is a very nice food and beverage category that is categorized under fusion cuisine</v>
      </c>
      <c r="G388">
        <f>VLOOKUP(IngredientGenerator!C388,Ingredient!$A$21:$F$111,6,FALSE)</f>
        <v>1</v>
      </c>
    </row>
    <row r="389" spans="1:7" x14ac:dyDescent="0.25">
      <c r="A389">
        <v>33</v>
      </c>
      <c r="B389" t="s">
        <v>112</v>
      </c>
      <c r="C389" t="str">
        <f>IF(B389="western",randomselection(Ingredient!$A$2:$A$18),IF(B389="asian",randomselection(Ingredient!$B$2:$B$18),IF(B389="fusion",randomselection(Ingredient!$C$2:$C$18),IF(B389="asian",randomselection(Ingredient!$B$2:$B$18),IF(B389="vegetable",randomselection(Ingredient!$D$2:$D$18),randomselection(Ingredient!$E$2:$E$18))))))</f>
        <v>acorn squash</v>
      </c>
      <c r="D389" t="str">
        <f>VLOOKUP(IngredientGenerator!C389,Ingredient!$A$21:$F$111,2,FALSE)</f>
        <v>package</v>
      </c>
      <c r="E389" t="s">
        <v>112</v>
      </c>
      <c r="F389" t="str">
        <f t="shared" si="6"/>
        <v>acorn squash is a very nice food and beverage category that is categorized under western cuisine</v>
      </c>
      <c r="G389">
        <f>VLOOKUP(IngredientGenerator!C389,Ingredient!$A$21:$F$111,6,FALSE)</f>
        <v>2.9</v>
      </c>
    </row>
    <row r="390" spans="1:7" x14ac:dyDescent="0.25">
      <c r="A390">
        <v>34</v>
      </c>
      <c r="B390" t="s">
        <v>112</v>
      </c>
      <c r="C390" t="str">
        <f>IF(B390="western",randomselection(Ingredient!$A$2:$A$18),IF(B390="asian",randomselection(Ingredient!$B$2:$B$18),IF(B390="fusion",randomselection(Ingredient!$C$2:$C$18),IF(B390="asian",randomselection(Ingredient!$B$2:$B$18),IF(B390="vegetable",randomselection(Ingredient!$D$2:$D$18),randomselection(Ingredient!$E$2:$E$18))))))</f>
        <v>Canadian bacon</v>
      </c>
      <c r="D390" t="str">
        <f>VLOOKUP(IngredientGenerator!C390,Ingredient!$A$21:$F$111,2,FALSE)</f>
        <v>piece</v>
      </c>
      <c r="E390" t="s">
        <v>112</v>
      </c>
      <c r="F390" t="str">
        <f t="shared" si="6"/>
        <v>Canadian bacon is a very nice food and beverage category that is categorized under western cuisine</v>
      </c>
      <c r="G390">
        <f>VLOOKUP(IngredientGenerator!C390,Ingredient!$A$21:$F$111,6,FALSE)</f>
        <v>1.5</v>
      </c>
    </row>
    <row r="391" spans="1:7" x14ac:dyDescent="0.25">
      <c r="A391">
        <v>35</v>
      </c>
      <c r="B391" t="s">
        <v>113</v>
      </c>
      <c r="C391" t="str">
        <f>IF(B391="western",randomselection(Ingredient!$A$2:$A$18),IF(B391="asian",randomselection(Ingredient!$B$2:$B$18),IF(B391="fusion",randomselection(Ingredient!$C$2:$C$18),IF(B391="asian",randomselection(Ingredient!$B$2:$B$18),IF(B391="vegetable",randomselection(Ingredient!$D$2:$D$18),randomselection(Ingredient!$E$2:$E$18))))))</f>
        <v>coconut oil</v>
      </c>
      <c r="D391" t="str">
        <f>VLOOKUP(IngredientGenerator!C391,Ingredient!$A$21:$F$111,2,FALSE)</f>
        <v>bottle</v>
      </c>
      <c r="E391" t="s">
        <v>113</v>
      </c>
      <c r="F391" t="str">
        <f t="shared" si="6"/>
        <v>coconut oil is a very nice food and beverage category that is categorized under asian cuisine</v>
      </c>
      <c r="G391">
        <f>VLOOKUP(IngredientGenerator!C391,Ingredient!$A$21:$F$111,6,FALSE)</f>
        <v>5.9</v>
      </c>
    </row>
    <row r="392" spans="1:7" x14ac:dyDescent="0.25">
      <c r="A392">
        <v>36</v>
      </c>
      <c r="B392" t="s">
        <v>112</v>
      </c>
      <c r="C392" t="str">
        <f>IF(B392="western",randomselection(Ingredient!$A$2:$A$18),IF(B392="asian",randomselection(Ingredient!$B$2:$B$18),IF(B392="fusion",randomselection(Ingredient!$C$2:$C$18),IF(B392="asian",randomselection(Ingredient!$B$2:$B$18),IF(B392="vegetable",randomselection(Ingredient!$D$2:$D$18),randomselection(Ingredient!$E$2:$E$18))))))</f>
        <v>pasta</v>
      </c>
      <c r="D392" t="str">
        <f>VLOOKUP(IngredientGenerator!C392,Ingredient!$A$21:$F$111,2,FALSE)</f>
        <v>can</v>
      </c>
      <c r="E392" t="s">
        <v>112</v>
      </c>
      <c r="F392" t="str">
        <f t="shared" si="6"/>
        <v>pasta is a very nice food and beverage category that is categorized under western cuisine</v>
      </c>
      <c r="G392">
        <f>VLOOKUP(IngredientGenerator!C392,Ingredient!$A$21:$F$111,6,FALSE)</f>
        <v>3</v>
      </c>
    </row>
    <row r="393" spans="1:7" x14ac:dyDescent="0.25">
      <c r="A393">
        <v>37</v>
      </c>
      <c r="B393" t="s">
        <v>115</v>
      </c>
      <c r="C393" t="str">
        <f>IF(B393="western",randomselection(Ingredient!$A$2:$A$18),IF(B393="asian",randomselection(Ingredient!$B$2:$B$18),IF(B393="fusion",randomselection(Ingredient!$C$2:$C$18),IF(B393="asian",randomselection(Ingredient!$B$2:$B$18),IF(B393="vegetable",randomselection(Ingredient!$D$2:$D$18),randomselection(Ingredient!$E$2:$E$18))))))</f>
        <v>pea beans</v>
      </c>
      <c r="D393" t="str">
        <f>VLOOKUP(IngredientGenerator!C393,Ingredient!$A$21:$F$111,2,FALSE)</f>
        <v>can</v>
      </c>
      <c r="E393" t="s">
        <v>115</v>
      </c>
      <c r="F393" t="str">
        <f t="shared" si="6"/>
        <v>pea beans is a very nice food and beverage category that is categorized under vegetable cuisine</v>
      </c>
      <c r="G393">
        <f>VLOOKUP(IngredientGenerator!C393,Ingredient!$A$21:$F$111,6,FALSE)</f>
        <v>3.4</v>
      </c>
    </row>
    <row r="394" spans="1:7" x14ac:dyDescent="0.25">
      <c r="A394">
        <v>38</v>
      </c>
      <c r="B394" t="s">
        <v>114</v>
      </c>
      <c r="C394" t="str">
        <f>IF(B394="western",randomselection(Ingredient!$A$2:$A$18),IF(B394="asian",randomselection(Ingredient!$B$2:$B$18),IF(B394="fusion",randomselection(Ingredient!$C$2:$C$18),IF(B394="asian",randomselection(Ingredient!$B$2:$B$18),IF(B394="vegetable",randomselection(Ingredient!$D$2:$D$18),randomselection(Ingredient!$E$2:$E$18))))))</f>
        <v>provolone</v>
      </c>
      <c r="D394" t="str">
        <f>VLOOKUP(IngredientGenerator!C394,Ingredient!$A$21:$F$111,2,FALSE)</f>
        <v>package</v>
      </c>
      <c r="E394" t="s">
        <v>114</v>
      </c>
      <c r="F394" t="str">
        <f t="shared" si="6"/>
        <v>provolone is a very nice food and beverage category that is categorized under fusion cuisine</v>
      </c>
      <c r="G394">
        <f>VLOOKUP(IngredientGenerator!C394,Ingredient!$A$21:$F$111,6,FALSE)</f>
        <v>1.2</v>
      </c>
    </row>
    <row r="395" spans="1:7" x14ac:dyDescent="0.25">
      <c r="A395">
        <v>39</v>
      </c>
      <c r="B395" t="s">
        <v>114</v>
      </c>
      <c r="C395" t="str">
        <f>IF(B395="western",randomselection(Ingredient!$A$2:$A$18),IF(B395="asian",randomselection(Ingredient!$B$2:$B$18),IF(B395="fusion",randomselection(Ingredient!$C$2:$C$18),IF(B395="asian",randomselection(Ingredient!$B$2:$B$18),IF(B395="vegetable",randomselection(Ingredient!$D$2:$D$18),randomselection(Ingredient!$E$2:$E$18))))))</f>
        <v>cottage cheese</v>
      </c>
      <c r="D395" t="str">
        <f>VLOOKUP(IngredientGenerator!C395,Ingredient!$A$21:$F$111,2,FALSE)</f>
        <v>package</v>
      </c>
      <c r="E395" t="s">
        <v>114</v>
      </c>
      <c r="F395" t="str">
        <f t="shared" si="6"/>
        <v>cottage cheese is a very nice food and beverage category that is categorized under fusion cuisine</v>
      </c>
      <c r="G395">
        <f>VLOOKUP(IngredientGenerator!C395,Ingredient!$A$21:$F$111,6,FALSE)</f>
        <v>3.1</v>
      </c>
    </row>
    <row r="396" spans="1:7" x14ac:dyDescent="0.25">
      <c r="A396">
        <v>40</v>
      </c>
      <c r="B396" t="s">
        <v>113</v>
      </c>
      <c r="C396" t="str">
        <f>IF(B396="western",randomselection(Ingredient!$A$2:$A$18),IF(B396="asian",randomselection(Ingredient!$B$2:$B$18),IF(B396="fusion",randomselection(Ingredient!$C$2:$C$18),IF(B396="asian",randomselection(Ingredient!$B$2:$B$18),IF(B396="vegetable",randomselection(Ingredient!$D$2:$D$18),randomselection(Ingredient!$E$2:$E$18))))))</f>
        <v>grouper</v>
      </c>
      <c r="D396" t="str">
        <f>VLOOKUP(IngredientGenerator!C396,Ingredient!$A$21:$F$111,2,FALSE)</f>
        <v>piece</v>
      </c>
      <c r="E396" t="s">
        <v>113</v>
      </c>
      <c r="F396" t="str">
        <f t="shared" si="6"/>
        <v>grouper is a very nice food and beverage category that is categorized under asian cuisine</v>
      </c>
      <c r="G396">
        <f>VLOOKUP(IngredientGenerator!C396,Ingredient!$A$21:$F$111,6,FALSE)</f>
        <v>5.2</v>
      </c>
    </row>
    <row r="397" spans="1:7" x14ac:dyDescent="0.25">
      <c r="A397">
        <v>41</v>
      </c>
      <c r="B397" t="s">
        <v>115</v>
      </c>
      <c r="C397" t="str">
        <f>IF(B397="western",randomselection(Ingredient!$A$2:$A$18),IF(B397="asian",randomselection(Ingredient!$B$2:$B$18),IF(B397="fusion",randomselection(Ingredient!$C$2:$C$18),IF(B397="asian",randomselection(Ingredient!$B$2:$B$18),IF(B397="vegetable",randomselection(Ingredient!$D$2:$D$18),randomselection(Ingredient!$E$2:$E$18))))))</f>
        <v>sesame seeds</v>
      </c>
      <c r="D397" t="str">
        <f>VLOOKUP(IngredientGenerator!C397,Ingredient!$A$21:$F$111,2,FALSE)</f>
        <v>package</v>
      </c>
      <c r="E397" t="s">
        <v>115</v>
      </c>
      <c r="F397" t="str">
        <f t="shared" si="6"/>
        <v>sesame seeds is a very nice food and beverage category that is categorized under vegetable cuisine</v>
      </c>
      <c r="G397">
        <f>VLOOKUP(IngredientGenerator!C397,Ingredient!$A$21:$F$111,6,FALSE)</f>
        <v>5.3</v>
      </c>
    </row>
    <row r="398" spans="1:7" x14ac:dyDescent="0.25">
      <c r="A398">
        <v>42</v>
      </c>
      <c r="B398" t="s">
        <v>114</v>
      </c>
      <c r="C398" t="str">
        <f>IF(B398="western",randomselection(Ingredient!$A$2:$A$18),IF(B398="asian",randomselection(Ingredient!$B$2:$B$18),IF(B398="fusion",randomselection(Ingredient!$C$2:$C$18),IF(B398="asian",randomselection(Ingredient!$B$2:$B$18),IF(B398="vegetable",randomselection(Ingredient!$D$2:$D$18),randomselection(Ingredient!$E$2:$E$18))))))</f>
        <v>cottage cheese</v>
      </c>
      <c r="D398" t="str">
        <f>VLOOKUP(IngredientGenerator!C398,Ingredient!$A$21:$F$111,2,FALSE)</f>
        <v>package</v>
      </c>
      <c r="E398" t="s">
        <v>114</v>
      </c>
      <c r="F398" t="str">
        <f t="shared" si="6"/>
        <v>cottage cheese is a very nice food and beverage category that is categorized under fusion cuisine</v>
      </c>
      <c r="G398">
        <f>VLOOKUP(IngredientGenerator!C398,Ingredient!$A$21:$F$111,6,FALSE)</f>
        <v>3.1</v>
      </c>
    </row>
    <row r="399" spans="1:7" x14ac:dyDescent="0.25">
      <c r="A399">
        <v>43</v>
      </c>
      <c r="B399" t="s">
        <v>112</v>
      </c>
      <c r="C399" t="str">
        <f>IF(B399="western",randomselection(Ingredient!$A$2:$A$18),IF(B399="asian",randomselection(Ingredient!$B$2:$B$18),IF(B399="fusion",randomselection(Ingredient!$C$2:$C$18),IF(B399="asian",randomselection(Ingredient!$B$2:$B$18),IF(B399="vegetable",randomselection(Ingredient!$D$2:$D$18),randomselection(Ingredient!$E$2:$E$18))))))</f>
        <v>hamburger</v>
      </c>
      <c r="D399" t="str">
        <f>VLOOKUP(IngredientGenerator!C399,Ingredient!$A$21:$F$111,2,FALSE)</f>
        <v>piece</v>
      </c>
      <c r="E399" t="s">
        <v>112</v>
      </c>
      <c r="F399" t="str">
        <f t="shared" si="6"/>
        <v>hamburger is a very nice food and beverage category that is categorized under western cuisine</v>
      </c>
      <c r="G399">
        <f>VLOOKUP(IngredientGenerator!C399,Ingredient!$A$21:$F$111,6,FALSE)</f>
        <v>1.1000000000000001</v>
      </c>
    </row>
    <row r="400" spans="1:7" x14ac:dyDescent="0.25">
      <c r="A400">
        <v>44</v>
      </c>
      <c r="B400" t="s">
        <v>112</v>
      </c>
      <c r="C400" t="str">
        <f>IF(B400="western",randomselection(Ingredient!$A$2:$A$18),IF(B400="asian",randomselection(Ingredient!$B$2:$B$18),IF(B400="fusion",randomselection(Ingredient!$C$2:$C$18),IF(B400="asian",randomselection(Ingredient!$B$2:$B$18),IF(B400="vegetable",randomselection(Ingredient!$D$2:$D$18),randomselection(Ingredient!$E$2:$E$18))))))</f>
        <v>hamburger</v>
      </c>
      <c r="D400" t="str">
        <f>VLOOKUP(IngredientGenerator!C400,Ingredient!$A$21:$F$111,2,FALSE)</f>
        <v>piece</v>
      </c>
      <c r="E400" t="s">
        <v>112</v>
      </c>
      <c r="F400" t="str">
        <f t="shared" si="6"/>
        <v>hamburger is a very nice food and beverage category that is categorized under western cuisine</v>
      </c>
      <c r="G400">
        <f>VLOOKUP(IngredientGenerator!C400,Ingredient!$A$21:$F$111,6,FALSE)</f>
        <v>1.1000000000000001</v>
      </c>
    </row>
    <row r="401" spans="1:7" x14ac:dyDescent="0.25">
      <c r="A401">
        <v>45</v>
      </c>
      <c r="B401" t="s">
        <v>112</v>
      </c>
      <c r="C401" t="str">
        <f>IF(B401="western",randomselection(Ingredient!$A$2:$A$18),IF(B401="asian",randomselection(Ingredient!$B$2:$B$18),IF(B401="fusion",randomselection(Ingredient!$C$2:$C$18),IF(B401="asian",randomselection(Ingredient!$B$2:$B$18),IF(B401="vegetable",randomselection(Ingredient!$D$2:$D$18),randomselection(Ingredient!$E$2:$E$18))))))</f>
        <v>hash browns</v>
      </c>
      <c r="D401" t="str">
        <f>VLOOKUP(IngredientGenerator!C401,Ingredient!$A$21:$F$111,2,FALSE)</f>
        <v>package</v>
      </c>
      <c r="E401" t="s">
        <v>112</v>
      </c>
      <c r="F401" t="str">
        <f t="shared" si="6"/>
        <v>hash browns is a very nice food and beverage category that is categorized under western cuisine</v>
      </c>
      <c r="G401">
        <f>VLOOKUP(IngredientGenerator!C401,Ingredient!$A$21:$F$111,6,FALSE)</f>
        <v>4.5999999999999996</v>
      </c>
    </row>
    <row r="402" spans="1:7" x14ac:dyDescent="0.25">
      <c r="A402">
        <v>46</v>
      </c>
      <c r="B402" t="s">
        <v>115</v>
      </c>
      <c r="C402" t="str">
        <f>IF(B402="western",randomselection(Ingredient!$A$2:$A$18),IF(B402="asian",randomselection(Ingredient!$B$2:$B$18),IF(B402="fusion",randomselection(Ingredient!$C$2:$C$18),IF(B402="asian",randomselection(Ingredient!$B$2:$B$18),IF(B402="vegetable",randomselection(Ingredient!$D$2:$D$18),randomselection(Ingredient!$E$2:$E$18))))))</f>
        <v>cornstarch</v>
      </c>
      <c r="D402" t="str">
        <f>VLOOKUP(IngredientGenerator!C402,Ingredient!$A$21:$F$111,2,FALSE)</f>
        <v>can</v>
      </c>
      <c r="E402" t="s">
        <v>115</v>
      </c>
      <c r="F402" t="str">
        <f t="shared" si="6"/>
        <v>cornstarch is a very nice food and beverage category that is categorized under vegetable cuisine</v>
      </c>
      <c r="G402">
        <f>VLOOKUP(IngredientGenerator!C402,Ingredient!$A$21:$F$111,6,FALSE)</f>
        <v>3.9</v>
      </c>
    </row>
    <row r="403" spans="1:7" x14ac:dyDescent="0.25">
      <c r="A403">
        <v>47</v>
      </c>
      <c r="B403" t="s">
        <v>114</v>
      </c>
      <c r="C403" t="str">
        <f>IF(B403="western",randomselection(Ingredient!$A$2:$A$18),IF(B403="asian",randomselection(Ingredient!$B$2:$B$18),IF(B403="fusion",randomselection(Ingredient!$C$2:$C$18),IF(B403="asian",randomselection(Ingredient!$B$2:$B$18),IF(B403="vegetable",randomselection(Ingredient!$D$2:$D$18),randomselection(Ingredient!$E$2:$E$18))))))</f>
        <v>pumpkin seeds</v>
      </c>
      <c r="D403" t="str">
        <f>VLOOKUP(IngredientGenerator!C403,Ingredient!$A$21:$F$111,2,FALSE)</f>
        <v>package</v>
      </c>
      <c r="E403" t="s">
        <v>114</v>
      </c>
      <c r="F403" t="str">
        <f t="shared" si="6"/>
        <v>pumpkin seeds is a very nice food and beverage category that is categorized under fusion cuisine</v>
      </c>
      <c r="G403">
        <f>VLOOKUP(IngredientGenerator!C403,Ingredient!$A$21:$F$111,6,FALSE)</f>
        <v>3.4</v>
      </c>
    </row>
    <row r="404" spans="1:7" x14ac:dyDescent="0.25">
      <c r="A404">
        <v>48</v>
      </c>
      <c r="B404" t="s">
        <v>114</v>
      </c>
      <c r="C404" t="str">
        <f>IF(B404="western",randomselection(Ingredient!$A$2:$A$18),IF(B404="asian",randomselection(Ingredient!$B$2:$B$18),IF(B404="fusion",randomselection(Ingredient!$C$2:$C$18),IF(B404="asian",randomselection(Ingredient!$B$2:$B$18),IF(B404="vegetable",randomselection(Ingredient!$D$2:$D$18),randomselection(Ingredient!$E$2:$E$18))))))</f>
        <v>colby cheese</v>
      </c>
      <c r="D404" t="str">
        <f>VLOOKUP(IngredientGenerator!C404,Ingredient!$A$21:$F$111,2,FALSE)</f>
        <v>package</v>
      </c>
      <c r="E404" t="s">
        <v>114</v>
      </c>
      <c r="F404" t="str">
        <f t="shared" si="6"/>
        <v>colby cheese is a very nice food and beverage category that is categorized under fusion cuisine</v>
      </c>
      <c r="G404">
        <f>VLOOKUP(IngredientGenerator!C404,Ingredient!$A$21:$F$111,6,FALSE)</f>
        <v>2.2000000000000002</v>
      </c>
    </row>
    <row r="405" spans="1:7" x14ac:dyDescent="0.25">
      <c r="A405">
        <v>49</v>
      </c>
      <c r="B405" t="s">
        <v>114</v>
      </c>
      <c r="C405" t="str">
        <f>IF(B405="western",randomselection(Ingredient!$A$2:$A$18),IF(B405="asian",randomselection(Ingredient!$B$2:$B$18),IF(B405="fusion",randomselection(Ingredient!$C$2:$C$18),IF(B405="asian",randomselection(Ingredient!$B$2:$B$18),IF(B405="vegetable",randomselection(Ingredient!$D$2:$D$18),randomselection(Ingredient!$E$2:$E$18))))))</f>
        <v>colby cheese</v>
      </c>
      <c r="D405" t="str">
        <f>VLOOKUP(IngredientGenerator!C405,Ingredient!$A$21:$F$111,2,FALSE)</f>
        <v>package</v>
      </c>
      <c r="E405" t="s">
        <v>114</v>
      </c>
      <c r="F405" t="str">
        <f t="shared" si="6"/>
        <v>colby cheese is a very nice food and beverage category that is categorized under fusion cuisine</v>
      </c>
      <c r="G405">
        <f>VLOOKUP(IngredientGenerator!C405,Ingredient!$A$21:$F$111,6,FALSE)</f>
        <v>2.2000000000000002</v>
      </c>
    </row>
    <row r="406" spans="1:7" x14ac:dyDescent="0.25">
      <c r="A406">
        <v>50</v>
      </c>
      <c r="B406" t="s">
        <v>114</v>
      </c>
      <c r="C406" t="str">
        <f>IF(B406="western",randomselection(Ingredient!$A$2:$A$18),IF(B406="asian",randomselection(Ingredient!$B$2:$B$18),IF(B406="fusion",randomselection(Ingredient!$C$2:$C$18),IF(B406="asian",randomselection(Ingredient!$B$2:$B$18),IF(B406="vegetable",randomselection(Ingredient!$D$2:$D$18),randomselection(Ingredient!$E$2:$E$18))))))</f>
        <v>cream cheese</v>
      </c>
      <c r="D406" t="str">
        <f>VLOOKUP(IngredientGenerator!C406,Ingredient!$A$21:$F$111,2,FALSE)</f>
        <v>package</v>
      </c>
      <c r="E406" t="s">
        <v>114</v>
      </c>
      <c r="F406" t="str">
        <f t="shared" si="6"/>
        <v>cream cheese is a very nice food and beverage category that is categorized under fusion cuisine</v>
      </c>
      <c r="G406">
        <f>VLOOKUP(IngredientGenerator!C406,Ingredient!$A$21:$F$111,6,FALSE)</f>
        <v>2.2000000000000002</v>
      </c>
    </row>
    <row r="407" spans="1:7" x14ac:dyDescent="0.25">
      <c r="A407">
        <v>51</v>
      </c>
      <c r="B407" t="s">
        <v>114</v>
      </c>
      <c r="C407" t="str">
        <f>IF(B407="western",randomselection(Ingredient!$A$2:$A$18),IF(B407="asian",randomselection(Ingredient!$B$2:$B$18),IF(B407="fusion",randomselection(Ingredient!$C$2:$C$18),IF(B407="asian",randomselection(Ingredient!$B$2:$B$18),IF(B407="vegetable",randomselection(Ingredient!$D$2:$D$18),randomselection(Ingredient!$E$2:$E$18))))))</f>
        <v>pumpkin seeds</v>
      </c>
      <c r="D407" t="str">
        <f>VLOOKUP(IngredientGenerator!C407,Ingredient!$A$21:$F$111,2,FALSE)</f>
        <v>package</v>
      </c>
      <c r="E407" t="s">
        <v>114</v>
      </c>
      <c r="F407" t="str">
        <f t="shared" si="6"/>
        <v>pumpkin seeds is a very nice food and beverage category that is categorized under fusion cuisine</v>
      </c>
      <c r="G407">
        <f>VLOOKUP(IngredientGenerator!C407,Ingredient!$A$21:$F$111,6,FALSE)</f>
        <v>3.4</v>
      </c>
    </row>
    <row r="408" spans="1:7" x14ac:dyDescent="0.25">
      <c r="A408">
        <v>52</v>
      </c>
      <c r="B408" t="s">
        <v>114</v>
      </c>
      <c r="C408" t="str">
        <f>IF(B408="western",randomselection(Ingredient!$A$2:$A$18),IF(B408="asian",randomselection(Ingredient!$B$2:$B$18),IF(B408="fusion",randomselection(Ingredient!$C$2:$C$18),IF(B408="asian",randomselection(Ingredient!$B$2:$B$18),IF(B408="vegetable",randomselection(Ingredient!$D$2:$D$18),randomselection(Ingredient!$E$2:$E$18))))))</f>
        <v>pumpkin seeds</v>
      </c>
      <c r="D408" t="str">
        <f>VLOOKUP(IngredientGenerator!C408,Ingredient!$A$21:$F$111,2,FALSE)</f>
        <v>package</v>
      </c>
      <c r="E408" t="s">
        <v>114</v>
      </c>
      <c r="F408" t="str">
        <f t="shared" si="6"/>
        <v>pumpkin seeds is a very nice food and beverage category that is categorized under fusion cuisine</v>
      </c>
      <c r="G408">
        <f>VLOOKUP(IngredientGenerator!C408,Ingredient!$A$21:$F$111,6,FALSE)</f>
        <v>3.4</v>
      </c>
    </row>
    <row r="409" spans="1:7" x14ac:dyDescent="0.25">
      <c r="A409">
        <v>53</v>
      </c>
      <c r="B409" t="s">
        <v>113</v>
      </c>
      <c r="C409" t="str">
        <f>IF(B409="western",randomselection(Ingredient!$A$2:$A$18),IF(B409="asian",randomselection(Ingredient!$B$2:$B$18),IF(B409="fusion",randomselection(Ingredient!$C$2:$C$18),IF(B409="asian",randomselection(Ingredient!$B$2:$B$18),IF(B409="vegetable",randomselection(Ingredient!$D$2:$D$18),randomselection(Ingredient!$E$2:$E$18))))))</f>
        <v>leeks</v>
      </c>
      <c r="D409" t="str">
        <f>VLOOKUP(IngredientGenerator!C409,Ingredient!$A$21:$F$111,2,FALSE)</f>
        <v>package</v>
      </c>
      <c r="E409" t="s">
        <v>113</v>
      </c>
      <c r="F409" t="str">
        <f t="shared" si="6"/>
        <v>leeks is a very nice food and beverage category that is categorized under asian cuisine</v>
      </c>
      <c r="G409">
        <f>VLOOKUP(IngredientGenerator!C409,Ingredient!$A$21:$F$111,6,FALSE)</f>
        <v>4.5999999999999996</v>
      </c>
    </row>
    <row r="410" spans="1:7" x14ac:dyDescent="0.25">
      <c r="A410">
        <v>54</v>
      </c>
      <c r="B410" t="s">
        <v>114</v>
      </c>
      <c r="C410" t="str">
        <f>IF(B410="western",randomselection(Ingredient!$A$2:$A$18),IF(B410="asian",randomselection(Ingredient!$B$2:$B$18),IF(B410="fusion",randomselection(Ingredient!$C$2:$C$18),IF(B410="asian",randomselection(Ingredient!$B$2:$B$18),IF(B410="vegetable",randomselection(Ingredient!$D$2:$D$18),randomselection(Ingredient!$E$2:$E$18))))))</f>
        <v>feta cheese</v>
      </c>
      <c r="D410" t="str">
        <f>VLOOKUP(IngredientGenerator!C410,Ingredient!$A$21:$F$111,2,FALSE)</f>
        <v>package</v>
      </c>
      <c r="E410" t="s">
        <v>114</v>
      </c>
      <c r="F410" t="str">
        <f t="shared" si="6"/>
        <v>feta cheese is a very nice food and beverage category that is categorized under fusion cuisine</v>
      </c>
      <c r="G410">
        <f>VLOOKUP(IngredientGenerator!C410,Ingredient!$A$21:$F$111,6,FALSE)</f>
        <v>1.7</v>
      </c>
    </row>
    <row r="411" spans="1:7" x14ac:dyDescent="0.25">
      <c r="A411">
        <v>55</v>
      </c>
      <c r="B411" t="s">
        <v>112</v>
      </c>
      <c r="C411" t="str">
        <f>IF(B411="western",randomselection(Ingredient!$A$2:$A$18),IF(B411="asian",randomselection(Ingredient!$B$2:$B$18),IF(B411="fusion",randomselection(Ingredient!$C$2:$C$18),IF(B411="asian",randomselection(Ingredient!$B$2:$B$18),IF(B411="vegetable",randomselection(Ingredient!$D$2:$D$18),randomselection(Ingredient!$E$2:$E$18))))))</f>
        <v>hash browns</v>
      </c>
      <c r="D411" t="str">
        <f>VLOOKUP(IngredientGenerator!C411,Ingredient!$A$21:$F$111,2,FALSE)</f>
        <v>package</v>
      </c>
      <c r="E411" t="s">
        <v>112</v>
      </c>
      <c r="F411" t="str">
        <f t="shared" si="6"/>
        <v>hash browns is a very nice food and beverage category that is categorized under western cuisine</v>
      </c>
      <c r="G411">
        <f>VLOOKUP(IngredientGenerator!C411,Ingredient!$A$21:$F$111,6,FALSE)</f>
        <v>4.5999999999999996</v>
      </c>
    </row>
    <row r="412" spans="1:7" x14ac:dyDescent="0.25">
      <c r="A412">
        <v>56</v>
      </c>
      <c r="B412" t="s">
        <v>112</v>
      </c>
      <c r="C412" t="str">
        <f>IF(B412="western",randomselection(Ingredient!$A$2:$A$18),IF(B412="asian",randomselection(Ingredient!$B$2:$B$18),IF(B412="fusion",randomselection(Ingredient!$C$2:$C$18),IF(B412="asian",randomselection(Ingredient!$B$2:$B$18),IF(B412="vegetable",randomselection(Ingredient!$D$2:$D$18),randomselection(Ingredient!$E$2:$E$18))))))</f>
        <v>ale</v>
      </c>
      <c r="D412" t="str">
        <f>VLOOKUP(IngredientGenerator!C412,Ingredient!$A$21:$F$111,2,FALSE)</f>
        <v>package</v>
      </c>
      <c r="E412" t="s">
        <v>112</v>
      </c>
      <c r="F412" t="str">
        <f t="shared" si="6"/>
        <v>ale is a very nice food and beverage category that is categorized under western cuisine</v>
      </c>
      <c r="G412">
        <f>VLOOKUP(IngredientGenerator!C412,Ingredient!$A$21:$F$111,6,FALSE)</f>
        <v>2.2999999999999998</v>
      </c>
    </row>
    <row r="413" spans="1:7" x14ac:dyDescent="0.25">
      <c r="A413">
        <v>57</v>
      </c>
      <c r="B413" t="s">
        <v>116</v>
      </c>
      <c r="C413" t="str">
        <f>IF(B413="western",randomselection(Ingredient!$A$2:$A$18),IF(B413="asian",randomselection(Ingredient!$B$2:$B$18),IF(B413="fusion",randomselection(Ingredient!$C$2:$C$18),IF(B413="asian",randomselection(Ingredient!$B$2:$B$18),IF(B413="vegetable",randomselection(Ingredient!$D$2:$D$18),randomselection(Ingredient!$E$2:$E$18))))))</f>
        <v>tomato puree</v>
      </c>
      <c r="D413" t="str">
        <f>VLOOKUP(IngredientGenerator!C413,Ingredient!$A$21:$F$111,2,FALSE)</f>
        <v>can</v>
      </c>
      <c r="E413" t="s">
        <v>116</v>
      </c>
      <c r="F413" t="str">
        <f t="shared" si="6"/>
        <v>tomato puree is a very nice food and beverage category that is categorized under beverage cuisine</v>
      </c>
      <c r="G413">
        <f>VLOOKUP(IngredientGenerator!C413,Ingredient!$A$21:$F$111,6,FALSE)</f>
        <v>3.4</v>
      </c>
    </row>
    <row r="414" spans="1:7" x14ac:dyDescent="0.25">
      <c r="A414">
        <v>58</v>
      </c>
      <c r="B414" t="s">
        <v>112</v>
      </c>
      <c r="C414" t="str">
        <f>IF(B414="western",randomselection(Ingredient!$A$2:$A$18),IF(B414="asian",randomselection(Ingredient!$B$2:$B$18),IF(B414="fusion",randomselection(Ingredient!$C$2:$C$18),IF(B414="asian",randomselection(Ingredient!$B$2:$B$18),IF(B414="vegetable",randomselection(Ingredient!$D$2:$D$18),randomselection(Ingredient!$E$2:$E$18))))))</f>
        <v>corned beef</v>
      </c>
      <c r="D414" t="str">
        <f>VLOOKUP(IngredientGenerator!C414,Ingredient!$A$21:$F$111,2,FALSE)</f>
        <v>can</v>
      </c>
      <c r="E414" t="s">
        <v>112</v>
      </c>
      <c r="F414" t="str">
        <f t="shared" si="6"/>
        <v>corned beef is a very nice food and beverage category that is categorized under western cuisine</v>
      </c>
      <c r="G414">
        <f>VLOOKUP(IngredientGenerator!C414,Ingredient!$A$21:$F$111,6,FALSE)</f>
        <v>5.0999999999999996</v>
      </c>
    </row>
    <row r="415" spans="1:7" x14ac:dyDescent="0.25">
      <c r="A415">
        <v>59</v>
      </c>
      <c r="B415" t="s">
        <v>112</v>
      </c>
      <c r="C415" t="str">
        <f>IF(B415="western",randomselection(Ingredient!$A$2:$A$18),IF(B415="asian",randomselection(Ingredient!$B$2:$B$18),IF(B415="fusion",randomselection(Ingredient!$C$2:$C$18),IF(B415="asian",randomselection(Ingredient!$B$2:$B$18),IF(B415="vegetable",randomselection(Ingredient!$D$2:$D$18),randomselection(Ingredient!$E$2:$E$18))))))</f>
        <v>cream of tartar</v>
      </c>
      <c r="D415" t="str">
        <f>VLOOKUP(IngredientGenerator!C415,Ingredient!$A$21:$F$111,2,FALSE)</f>
        <v>can</v>
      </c>
      <c r="E415" t="s">
        <v>112</v>
      </c>
      <c r="F415" t="str">
        <f t="shared" si="6"/>
        <v>cream of tartar is a very nice food and beverage category that is categorized under western cuisine</v>
      </c>
      <c r="G415">
        <f>VLOOKUP(IngredientGenerator!C415,Ingredient!$A$21:$F$111,6,FALSE)</f>
        <v>2.2000000000000002</v>
      </c>
    </row>
    <row r="416" spans="1:7" x14ac:dyDescent="0.25">
      <c r="A416">
        <v>60</v>
      </c>
      <c r="B416" t="s">
        <v>113</v>
      </c>
      <c r="C416" t="str">
        <f>IF(B416="western",randomselection(Ingredient!$A$2:$A$18),IF(B416="asian",randomselection(Ingredient!$B$2:$B$18),IF(B416="fusion",randomselection(Ingredient!$C$2:$C$18),IF(B416="asian",randomselection(Ingredient!$B$2:$B$18),IF(B416="vegetable",randomselection(Ingredient!$D$2:$D$18),randomselection(Ingredient!$E$2:$E$18))))))</f>
        <v>cremini mushrooms</v>
      </c>
      <c r="D416" t="str">
        <f>VLOOKUP(IngredientGenerator!C416,Ingredient!$A$21:$F$111,2,FALSE)</f>
        <v>can</v>
      </c>
      <c r="E416" t="s">
        <v>113</v>
      </c>
      <c r="F416" t="str">
        <f t="shared" si="6"/>
        <v>cremini mushrooms is a very nice food and beverage category that is categorized under asian cuisine</v>
      </c>
      <c r="G416">
        <f>VLOOKUP(IngredientGenerator!C416,Ingredient!$A$21:$F$111,6,FALSE)</f>
        <v>2.4</v>
      </c>
    </row>
    <row r="417" spans="1:7" x14ac:dyDescent="0.25">
      <c r="A417">
        <v>61</v>
      </c>
      <c r="B417" t="s">
        <v>113</v>
      </c>
      <c r="C417" t="str">
        <f>IF(B417="western",randomselection(Ingredient!$A$2:$A$18),IF(B417="asian",randomselection(Ingredient!$B$2:$B$18),IF(B417="fusion",randomselection(Ingredient!$C$2:$C$18),IF(B417="asian",randomselection(Ingredient!$B$2:$B$18),IF(B417="vegetable",randomselection(Ingredient!$D$2:$D$18),randomselection(Ingredient!$E$2:$E$18))))))</f>
        <v>leeks</v>
      </c>
      <c r="D417" t="str">
        <f>VLOOKUP(IngredientGenerator!C417,Ingredient!$A$21:$F$111,2,FALSE)</f>
        <v>package</v>
      </c>
      <c r="E417" t="s">
        <v>113</v>
      </c>
      <c r="F417" t="str">
        <f t="shared" si="6"/>
        <v>leeks is a very nice food and beverage category that is categorized under asian cuisine</v>
      </c>
      <c r="G417">
        <f>VLOOKUP(IngredientGenerator!C417,Ingredient!$A$21:$F$111,6,FALSE)</f>
        <v>4.5999999999999996</v>
      </c>
    </row>
    <row r="418" spans="1:7" x14ac:dyDescent="0.25">
      <c r="A418">
        <v>62</v>
      </c>
      <c r="B418" t="s">
        <v>112</v>
      </c>
      <c r="C418" t="str">
        <f>IF(B418="western",randomselection(Ingredient!$A$2:$A$18),IF(B418="asian",randomselection(Ingredient!$B$2:$B$18),IF(B418="fusion",randomselection(Ingredient!$C$2:$C$18),IF(B418="asian",randomselection(Ingredient!$B$2:$B$18),IF(B418="vegetable",randomselection(Ingredient!$D$2:$D$18),randomselection(Ingredient!$E$2:$E$18))))))</f>
        <v>lobsters</v>
      </c>
      <c r="D418" t="str">
        <f>VLOOKUP(IngredientGenerator!C418,Ingredient!$A$21:$F$111,2,FALSE)</f>
        <v>piece</v>
      </c>
      <c r="E418" t="s">
        <v>112</v>
      </c>
      <c r="F418" t="str">
        <f t="shared" si="6"/>
        <v>lobsters is a very nice food and beverage category that is categorized under western cuisine</v>
      </c>
      <c r="G418">
        <f>VLOOKUP(IngredientGenerator!C418,Ingredient!$A$21:$F$111,6,FALSE)</f>
        <v>5</v>
      </c>
    </row>
    <row r="419" spans="1:7" x14ac:dyDescent="0.25">
      <c r="A419">
        <v>63</v>
      </c>
      <c r="B419" t="s">
        <v>116</v>
      </c>
      <c r="C419" t="str">
        <f>IF(B419="western",randomselection(Ingredient!$A$2:$A$18),IF(B419="asian",randomselection(Ingredient!$B$2:$B$18),IF(B419="fusion",randomselection(Ingredient!$C$2:$C$18),IF(B419="asian",randomselection(Ingredient!$B$2:$B$18),IF(B419="vegetable",randomselection(Ingredient!$D$2:$D$18),randomselection(Ingredient!$E$2:$E$18))))))</f>
        <v>brandy</v>
      </c>
      <c r="D419" t="str">
        <f>VLOOKUP(IngredientGenerator!C419,Ingredient!$A$21:$F$111,2,FALSE)</f>
        <v>bottle</v>
      </c>
      <c r="E419" t="s">
        <v>116</v>
      </c>
      <c r="F419" t="str">
        <f t="shared" si="6"/>
        <v>brandy is a very nice food and beverage category that is categorized under beverage cuisine</v>
      </c>
      <c r="G419">
        <f>VLOOKUP(IngredientGenerator!C419,Ingredient!$A$21:$F$111,6,FALSE)</f>
        <v>10.7</v>
      </c>
    </row>
    <row r="420" spans="1:7" x14ac:dyDescent="0.25">
      <c r="A420">
        <v>64</v>
      </c>
      <c r="B420" t="s">
        <v>112</v>
      </c>
      <c r="C420" t="str">
        <f>IF(B420="western",randomselection(Ingredient!$A$2:$A$18),IF(B420="asian",randomselection(Ingredient!$B$2:$B$18),IF(B420="fusion",randomselection(Ingredient!$C$2:$C$18),IF(B420="asian",randomselection(Ingredient!$B$2:$B$18),IF(B420="vegetable",randomselection(Ingredient!$D$2:$D$18),randomselection(Ingredient!$E$2:$E$18))))))</f>
        <v>ale</v>
      </c>
      <c r="D420" t="str">
        <f>VLOOKUP(IngredientGenerator!C420,Ingredient!$A$21:$F$111,2,FALSE)</f>
        <v>package</v>
      </c>
      <c r="E420" t="s">
        <v>112</v>
      </c>
      <c r="F420" t="str">
        <f t="shared" si="6"/>
        <v>ale is a very nice food and beverage category that is categorized under western cuisine</v>
      </c>
      <c r="G420">
        <f>VLOOKUP(IngredientGenerator!C420,Ingredient!$A$21:$F$111,6,FALSE)</f>
        <v>2.2999999999999998</v>
      </c>
    </row>
    <row r="421" spans="1:7" x14ac:dyDescent="0.25">
      <c r="A421">
        <v>65</v>
      </c>
      <c r="B421" t="s">
        <v>112</v>
      </c>
      <c r="C421" t="str">
        <f>IF(B421="western",randomselection(Ingredient!$A$2:$A$18),IF(B421="asian",randomselection(Ingredient!$B$2:$B$18),IF(B421="fusion",randomselection(Ingredient!$C$2:$C$18),IF(B421="asian",randomselection(Ingredient!$B$2:$B$18),IF(B421="vegetable",randomselection(Ingredient!$D$2:$D$18),randomselection(Ingredient!$E$2:$E$18))))))</f>
        <v>pasta</v>
      </c>
      <c r="D421" t="str">
        <f>VLOOKUP(IngredientGenerator!C421,Ingredient!$A$21:$F$111,2,FALSE)</f>
        <v>can</v>
      </c>
      <c r="E421" t="s">
        <v>112</v>
      </c>
      <c r="F421" t="str">
        <f t="shared" si="6"/>
        <v>pasta is a very nice food and beverage category that is categorized under western cuisine</v>
      </c>
      <c r="G421">
        <f>VLOOKUP(IngredientGenerator!C421,Ingredient!$A$21:$F$111,6,FALSE)</f>
        <v>3</v>
      </c>
    </row>
    <row r="422" spans="1:7" x14ac:dyDescent="0.25">
      <c r="A422">
        <v>6</v>
      </c>
      <c r="B422" t="s">
        <v>112</v>
      </c>
      <c r="C422" t="str">
        <f>IF(B422="western",randomselection(Ingredient!$A$2:$A$18),IF(B422="asian",randomselection(Ingredient!$B$2:$B$18),IF(B422="fusion",randomselection(Ingredient!$C$2:$C$18),IF(B422="asian",randomselection(Ingredient!$B$2:$B$18),IF(B422="vegetable",randomselection(Ingredient!$D$2:$D$18),randomselection(Ingredient!$E$2:$E$18))))))</f>
        <v>garlic</v>
      </c>
      <c r="D422" t="str">
        <f>VLOOKUP(IngredientGenerator!C422,Ingredient!$A$21:$F$111,2,FALSE)</f>
        <v>piece</v>
      </c>
      <c r="E422" t="s">
        <v>112</v>
      </c>
      <c r="F422" t="str">
        <f t="shared" si="6"/>
        <v>garlic is a very nice food and beverage category that is categorized under western cuisine</v>
      </c>
      <c r="G422">
        <f>VLOOKUP(IngredientGenerator!C422,Ingredient!$A$21:$F$111,6,FALSE)</f>
        <v>3.1</v>
      </c>
    </row>
    <row r="423" spans="1:7" x14ac:dyDescent="0.25">
      <c r="A423">
        <v>7</v>
      </c>
      <c r="B423" t="s">
        <v>113</v>
      </c>
      <c r="C423" t="str">
        <f>IF(B423="western",randomselection(Ingredient!$A$2:$A$18),IF(B423="asian",randomselection(Ingredient!$B$2:$B$18),IF(B423="fusion",randomselection(Ingredient!$C$2:$C$18),IF(B423="asian",randomselection(Ingredient!$B$2:$B$18),IF(B423="vegetable",randomselection(Ingredient!$D$2:$D$18),randomselection(Ingredient!$E$2:$E$18))))))</f>
        <v>grouper</v>
      </c>
      <c r="D423" t="str">
        <f>VLOOKUP(IngredientGenerator!C423,Ingredient!$A$21:$F$111,2,FALSE)</f>
        <v>piece</v>
      </c>
      <c r="E423" t="s">
        <v>113</v>
      </c>
      <c r="F423" t="str">
        <f t="shared" si="6"/>
        <v>grouper is a very nice food and beverage category that is categorized under asian cuisine</v>
      </c>
      <c r="G423">
        <f>VLOOKUP(IngredientGenerator!C423,Ingredient!$A$21:$F$111,6,FALSE)</f>
        <v>5.2</v>
      </c>
    </row>
    <row r="424" spans="1:7" x14ac:dyDescent="0.25">
      <c r="A424">
        <v>8</v>
      </c>
      <c r="B424" t="s">
        <v>114</v>
      </c>
      <c r="C424" t="str">
        <f>IF(B424="western",randomselection(Ingredient!$A$2:$A$18),IF(B424="asian",randomselection(Ingredient!$B$2:$B$18),IF(B424="fusion",randomselection(Ingredient!$C$2:$C$18),IF(B424="asian",randomselection(Ingredient!$B$2:$B$18),IF(B424="vegetable",randomselection(Ingredient!$D$2:$D$18),randomselection(Ingredient!$E$2:$E$18))))))</f>
        <v>apples</v>
      </c>
      <c r="D424" t="str">
        <f>VLOOKUP(IngredientGenerator!C424,Ingredient!$A$21:$F$111,2,FALSE)</f>
        <v>package</v>
      </c>
      <c r="E424" t="s">
        <v>114</v>
      </c>
      <c r="F424" t="str">
        <f t="shared" si="6"/>
        <v>apples is a very nice food and beverage category that is categorized under fusion cuisine</v>
      </c>
      <c r="G424">
        <f>VLOOKUP(IngredientGenerator!C424,Ingredient!$A$21:$F$111,6,FALSE)</f>
        <v>2.5</v>
      </c>
    </row>
    <row r="425" spans="1:7" x14ac:dyDescent="0.25">
      <c r="A425">
        <v>9</v>
      </c>
      <c r="B425" t="s">
        <v>114</v>
      </c>
      <c r="C425" t="str">
        <f>IF(B425="western",randomselection(Ingredient!$A$2:$A$18),IF(B425="asian",randomselection(Ingredient!$B$2:$B$18),IF(B425="fusion",randomselection(Ingredient!$C$2:$C$18),IF(B425="asian",randomselection(Ingredient!$B$2:$B$18),IF(B425="vegetable",randomselection(Ingredient!$D$2:$D$18),randomselection(Ingredient!$E$2:$E$18))))))</f>
        <v>plantains</v>
      </c>
      <c r="D425" t="str">
        <f>VLOOKUP(IngredientGenerator!C425,Ingredient!$A$21:$F$111,2,FALSE)</f>
        <v>can</v>
      </c>
      <c r="E425" t="s">
        <v>114</v>
      </c>
      <c r="F425" t="str">
        <f t="shared" si="6"/>
        <v>plantains is a very nice food and beverage category that is categorized under fusion cuisine</v>
      </c>
      <c r="G425">
        <f>VLOOKUP(IngredientGenerator!C425,Ingredient!$A$21:$F$111,6,FALSE)</f>
        <v>3.5</v>
      </c>
    </row>
    <row r="426" spans="1:7" x14ac:dyDescent="0.25">
      <c r="A426">
        <v>10</v>
      </c>
      <c r="B426" t="s">
        <v>115</v>
      </c>
      <c r="C426" t="str">
        <f>IF(B426="western",randomselection(Ingredient!$A$2:$A$18),IF(B426="asian",randomselection(Ingredient!$B$2:$B$18),IF(B426="fusion",randomselection(Ingredient!$C$2:$C$18),IF(B426="asian",randomselection(Ingredient!$B$2:$B$18),IF(B426="vegetable",randomselection(Ingredient!$D$2:$D$18),randomselection(Ingredient!$E$2:$E$18))))))</f>
        <v>applesauce</v>
      </c>
      <c r="D426" t="str">
        <f>VLOOKUP(IngredientGenerator!C426,Ingredient!$A$21:$F$111,2,FALSE)</f>
        <v>can</v>
      </c>
      <c r="E426" t="s">
        <v>115</v>
      </c>
      <c r="F426" t="str">
        <f t="shared" si="6"/>
        <v>applesauce is a very nice food and beverage category that is categorized under vegetable cuisine</v>
      </c>
      <c r="G426">
        <f>VLOOKUP(IngredientGenerator!C426,Ingredient!$A$21:$F$111,6,FALSE)</f>
        <v>2.1</v>
      </c>
    </row>
    <row r="427" spans="1:7" x14ac:dyDescent="0.25">
      <c r="A427">
        <v>11</v>
      </c>
      <c r="B427" t="s">
        <v>116</v>
      </c>
      <c r="C427" t="str">
        <f>IF(B427="western",randomselection(Ingredient!$A$2:$A$18),IF(B427="asian",randomselection(Ingredient!$B$2:$B$18),IF(B427="fusion",randomselection(Ingredient!$C$2:$C$18),IF(B427="asian",randomselection(Ingredient!$B$2:$B$18),IF(B427="vegetable",randomselection(Ingredient!$D$2:$D$18),randomselection(Ingredient!$E$2:$E$18))))))</f>
        <v>fennel</v>
      </c>
      <c r="D427" t="str">
        <f>VLOOKUP(IngredientGenerator!C427,Ingredient!$A$21:$F$111,2,FALSE)</f>
        <v>can</v>
      </c>
      <c r="E427" t="s">
        <v>116</v>
      </c>
      <c r="F427" t="str">
        <f t="shared" si="6"/>
        <v>fennel is a very nice food and beverage category that is categorized under beverage cuisine</v>
      </c>
      <c r="G427">
        <f>VLOOKUP(IngredientGenerator!C427,Ingredient!$A$21:$F$111,6,FALSE)</f>
        <v>4</v>
      </c>
    </row>
    <row r="428" spans="1:7" x14ac:dyDescent="0.25">
      <c r="A428">
        <v>12</v>
      </c>
      <c r="B428" t="s">
        <v>116</v>
      </c>
      <c r="C428" t="str">
        <f>IF(B428="western",randomselection(Ingredient!$A$2:$A$18),IF(B428="asian",randomselection(Ingredient!$B$2:$B$18),IF(B428="fusion",randomselection(Ingredient!$C$2:$C$18),IF(B428="asian",randomselection(Ingredient!$B$2:$B$18),IF(B428="vegetable",randomselection(Ingredient!$D$2:$D$18),randomselection(Ingredient!$E$2:$E$18))))))</f>
        <v>cayenne pepper</v>
      </c>
      <c r="D428" t="str">
        <f>VLOOKUP(IngredientGenerator!C428,Ingredient!$A$21:$F$111,2,FALSE)</f>
        <v>can</v>
      </c>
      <c r="E428" t="s">
        <v>116</v>
      </c>
      <c r="F428" t="str">
        <f t="shared" si="6"/>
        <v>cayenne pepper is a very nice food and beverage category that is categorized under beverage cuisine</v>
      </c>
      <c r="G428">
        <f>VLOOKUP(IngredientGenerator!C428,Ingredient!$A$21:$F$111,6,FALSE)</f>
        <v>3.1</v>
      </c>
    </row>
    <row r="429" spans="1:7" x14ac:dyDescent="0.25">
      <c r="A429">
        <v>13</v>
      </c>
      <c r="B429" t="s">
        <v>116</v>
      </c>
      <c r="C429" t="str">
        <f>IF(B429="western",randomselection(Ingredient!$A$2:$A$18),IF(B429="asian",randomselection(Ingredient!$B$2:$B$18),IF(B429="fusion",randomselection(Ingredient!$C$2:$C$18),IF(B429="asian",randomselection(Ingredient!$B$2:$B$18),IF(B429="vegetable",randomselection(Ingredient!$D$2:$D$18),randomselection(Ingredient!$E$2:$E$18))))))</f>
        <v>baking soda</v>
      </c>
      <c r="D429" t="str">
        <f>VLOOKUP(IngredientGenerator!C429,Ingredient!$A$21:$F$111,2,FALSE)</f>
        <v>can</v>
      </c>
      <c r="E429" t="s">
        <v>116</v>
      </c>
      <c r="F429" t="str">
        <f t="shared" si="6"/>
        <v>baking soda is a very nice food and beverage category that is categorized under beverage cuisine</v>
      </c>
      <c r="G429">
        <f>VLOOKUP(IngredientGenerator!C429,Ingredient!$A$21:$F$111,6,FALSE)</f>
        <v>3.9</v>
      </c>
    </row>
    <row r="430" spans="1:7" x14ac:dyDescent="0.25">
      <c r="A430">
        <v>14</v>
      </c>
      <c r="B430" t="s">
        <v>113</v>
      </c>
      <c r="C430" t="str">
        <f>IF(B430="western",randomselection(Ingredient!$A$2:$A$18),IF(B430="asian",randomselection(Ingredient!$B$2:$B$18),IF(B430="fusion",randomselection(Ingredient!$C$2:$C$18),IF(B430="asian",randomselection(Ingredient!$B$2:$B$18),IF(B430="vegetable",randomselection(Ingredient!$D$2:$D$18),randomselection(Ingredient!$E$2:$E$18))))))</f>
        <v>leeks</v>
      </c>
      <c r="D430" t="str">
        <f>VLOOKUP(IngredientGenerator!C430,Ingredient!$A$21:$F$111,2,FALSE)</f>
        <v>package</v>
      </c>
      <c r="E430" t="s">
        <v>113</v>
      </c>
      <c r="F430" t="str">
        <f t="shared" si="6"/>
        <v>leeks is a very nice food and beverage category that is categorized under asian cuisine</v>
      </c>
      <c r="G430">
        <f>VLOOKUP(IngredientGenerator!C430,Ingredient!$A$21:$F$111,6,FALSE)</f>
        <v>4.5999999999999996</v>
      </c>
    </row>
    <row r="431" spans="1:7" x14ac:dyDescent="0.25">
      <c r="A431">
        <v>15</v>
      </c>
      <c r="B431" t="s">
        <v>116</v>
      </c>
      <c r="C431" t="str">
        <f>IF(B431="western",randomselection(Ingredient!$A$2:$A$18),IF(B431="asian",randomselection(Ingredient!$B$2:$B$18),IF(B431="fusion",randomselection(Ingredient!$C$2:$C$18),IF(B431="asian",randomselection(Ingredient!$B$2:$B$18),IF(B431="vegetable",randomselection(Ingredient!$D$2:$D$18),randomselection(Ingredient!$E$2:$E$18))))))</f>
        <v>fennel</v>
      </c>
      <c r="D431" t="str">
        <f>VLOOKUP(IngredientGenerator!C431,Ingredient!$A$21:$F$111,2,FALSE)</f>
        <v>can</v>
      </c>
      <c r="E431" t="s">
        <v>116</v>
      </c>
      <c r="F431" t="str">
        <f t="shared" si="6"/>
        <v>fennel is a very nice food and beverage category that is categorized under beverage cuisine</v>
      </c>
      <c r="G431">
        <f>VLOOKUP(IngredientGenerator!C431,Ingredient!$A$21:$F$111,6,FALSE)</f>
        <v>4</v>
      </c>
    </row>
    <row r="432" spans="1:7" x14ac:dyDescent="0.25">
      <c r="A432">
        <v>16</v>
      </c>
      <c r="B432" t="s">
        <v>114</v>
      </c>
      <c r="C432" t="str">
        <f>IF(B432="western",randomselection(Ingredient!$A$2:$A$18),IF(B432="asian",randomselection(Ingredient!$B$2:$B$18),IF(B432="fusion",randomselection(Ingredient!$C$2:$C$18),IF(B432="asian",randomselection(Ingredient!$B$2:$B$18),IF(B432="vegetable",randomselection(Ingredient!$D$2:$D$18),randomselection(Ingredient!$E$2:$E$18))))))</f>
        <v>ricotta cheese</v>
      </c>
      <c r="D432" t="str">
        <f>VLOOKUP(IngredientGenerator!C432,Ingredient!$A$21:$F$111,2,FALSE)</f>
        <v>package</v>
      </c>
      <c r="E432" t="s">
        <v>114</v>
      </c>
      <c r="F432" t="str">
        <f t="shared" si="6"/>
        <v>ricotta cheese is a very nice food and beverage category that is categorized under fusion cuisine</v>
      </c>
      <c r="G432">
        <f>VLOOKUP(IngredientGenerator!C432,Ingredient!$A$21:$F$111,6,FALSE)</f>
        <v>1.4</v>
      </c>
    </row>
    <row r="433" spans="1:7" x14ac:dyDescent="0.25">
      <c r="A433">
        <v>17</v>
      </c>
      <c r="B433" t="s">
        <v>113</v>
      </c>
      <c r="C433" t="str">
        <f>IF(B433="western",randomselection(Ingredient!$A$2:$A$18),IF(B433="asian",randomselection(Ingredient!$B$2:$B$18),IF(B433="fusion",randomselection(Ingredient!$C$2:$C$18),IF(B433="asian",randomselection(Ingredient!$B$2:$B$18),IF(B433="vegetable",randomselection(Ingredient!$D$2:$D$18),randomselection(Ingredient!$E$2:$E$18))))))</f>
        <v>grouper</v>
      </c>
      <c r="D433" t="str">
        <f>VLOOKUP(IngredientGenerator!C433,Ingredient!$A$21:$F$111,2,FALSE)</f>
        <v>piece</v>
      </c>
      <c r="E433" t="s">
        <v>113</v>
      </c>
      <c r="F433" t="str">
        <f t="shared" si="6"/>
        <v>grouper is a very nice food and beverage category that is categorized under asian cuisine</v>
      </c>
      <c r="G433">
        <f>VLOOKUP(IngredientGenerator!C433,Ingredient!$A$21:$F$111,6,FALSE)</f>
        <v>5.2</v>
      </c>
    </row>
    <row r="434" spans="1:7" x14ac:dyDescent="0.25">
      <c r="A434">
        <v>18</v>
      </c>
      <c r="B434" t="s">
        <v>114</v>
      </c>
      <c r="C434" t="str">
        <f>IF(B434="western",randomselection(Ingredient!$A$2:$A$18),IF(B434="asian",randomselection(Ingredient!$B$2:$B$18),IF(B434="fusion",randomselection(Ingredient!$C$2:$C$18),IF(B434="asian",randomselection(Ingredient!$B$2:$B$18),IF(B434="vegetable",randomselection(Ingredient!$D$2:$D$18),randomselection(Ingredient!$E$2:$E$18))))))</f>
        <v>feta cheese</v>
      </c>
      <c r="D434" t="str">
        <f>VLOOKUP(IngredientGenerator!C434,Ingredient!$A$21:$F$111,2,FALSE)</f>
        <v>package</v>
      </c>
      <c r="E434" t="s">
        <v>114</v>
      </c>
      <c r="F434" t="str">
        <f t="shared" si="6"/>
        <v>feta cheese is a very nice food and beverage category that is categorized under fusion cuisine</v>
      </c>
      <c r="G434">
        <f>VLOOKUP(IngredientGenerator!C434,Ingredient!$A$21:$F$111,6,FALSE)</f>
        <v>1.7</v>
      </c>
    </row>
    <row r="435" spans="1:7" x14ac:dyDescent="0.25">
      <c r="A435">
        <v>19</v>
      </c>
      <c r="B435" t="s">
        <v>114</v>
      </c>
      <c r="C435" t="str">
        <f>IF(B435="western",randomselection(Ingredient!$A$2:$A$18),IF(B435="asian",randomselection(Ingredient!$B$2:$B$18),IF(B435="fusion",randomselection(Ingredient!$C$2:$C$18),IF(B435="asian",randomselection(Ingredient!$B$2:$B$18),IF(B435="vegetable",randomselection(Ingredient!$D$2:$D$18),randomselection(Ingredient!$E$2:$E$18))))))</f>
        <v>feta cheese</v>
      </c>
      <c r="D435" t="str">
        <f>VLOOKUP(IngredientGenerator!C435,Ingredient!$A$21:$F$111,2,FALSE)</f>
        <v>package</v>
      </c>
      <c r="E435" t="s">
        <v>114</v>
      </c>
      <c r="F435" t="str">
        <f t="shared" si="6"/>
        <v>feta cheese is a very nice food and beverage category that is categorized under fusion cuisine</v>
      </c>
      <c r="G435">
        <f>VLOOKUP(IngredientGenerator!C435,Ingredient!$A$21:$F$111,6,FALSE)</f>
        <v>1.7</v>
      </c>
    </row>
    <row r="436" spans="1:7" x14ac:dyDescent="0.25">
      <c r="A436">
        <v>20</v>
      </c>
      <c r="B436" t="s">
        <v>114</v>
      </c>
      <c r="C436" t="str">
        <f>IF(B436="western",randomselection(Ingredient!$A$2:$A$18),IF(B436="asian",randomselection(Ingredient!$B$2:$B$18),IF(B436="fusion",randomselection(Ingredient!$C$2:$C$18),IF(B436="asian",randomselection(Ingredient!$B$2:$B$18),IF(B436="vegetable",randomselection(Ingredient!$D$2:$D$18),randomselection(Ingredient!$E$2:$E$18))))))</f>
        <v>colby cheese</v>
      </c>
      <c r="D436" t="str">
        <f>VLOOKUP(IngredientGenerator!C436,Ingredient!$A$21:$F$111,2,FALSE)</f>
        <v>package</v>
      </c>
      <c r="E436" t="s">
        <v>114</v>
      </c>
      <c r="F436" t="str">
        <f t="shared" si="6"/>
        <v>colby cheese is a very nice food and beverage category that is categorized under fusion cuisine</v>
      </c>
      <c r="G436">
        <f>VLOOKUP(IngredientGenerator!C436,Ingredient!$A$21:$F$111,6,FALSE)</f>
        <v>2.2000000000000002</v>
      </c>
    </row>
    <row r="437" spans="1:7" x14ac:dyDescent="0.25">
      <c r="A437">
        <v>21</v>
      </c>
      <c r="B437" t="s">
        <v>113</v>
      </c>
      <c r="C437" t="str">
        <f>IF(B437="western",randomselection(Ingredient!$A$2:$A$18),IF(B437="asian",randomselection(Ingredient!$B$2:$B$18),IF(B437="fusion",randomselection(Ingredient!$C$2:$C$18),IF(B437="asian",randomselection(Ingredient!$B$2:$B$18),IF(B437="vegetable",randomselection(Ingredient!$D$2:$D$18),randomselection(Ingredient!$E$2:$E$18))))))</f>
        <v>tea</v>
      </c>
      <c r="D437" t="str">
        <f>VLOOKUP(IngredientGenerator!C437,Ingredient!$A$21:$F$111,2,FALSE)</f>
        <v>package</v>
      </c>
      <c r="E437" t="s">
        <v>113</v>
      </c>
      <c r="F437" t="str">
        <f t="shared" si="6"/>
        <v>tea is a very nice food and beverage category that is categorized under asian cuisine</v>
      </c>
      <c r="G437">
        <f>VLOOKUP(IngredientGenerator!C437,Ingredient!$A$21:$F$111,6,FALSE)</f>
        <v>3.2</v>
      </c>
    </row>
    <row r="438" spans="1:7" x14ac:dyDescent="0.25">
      <c r="A438">
        <v>22</v>
      </c>
      <c r="B438" t="s">
        <v>116</v>
      </c>
      <c r="C438" t="str">
        <f>IF(B438="western",randomselection(Ingredient!$A$2:$A$18),IF(B438="asian",randomselection(Ingredient!$B$2:$B$18),IF(B438="fusion",randomselection(Ingredient!$C$2:$C$18),IF(B438="asian",randomselection(Ingredient!$B$2:$B$18),IF(B438="vegetable",randomselection(Ingredient!$D$2:$D$18),randomselection(Ingredient!$E$2:$E$18))))))</f>
        <v>broccoli</v>
      </c>
      <c r="D438" t="str">
        <f>VLOOKUP(IngredientGenerator!C438,Ingredient!$A$21:$F$111,2,FALSE)</f>
        <v>package</v>
      </c>
      <c r="E438" t="s">
        <v>116</v>
      </c>
      <c r="F438" t="str">
        <f t="shared" si="6"/>
        <v>broccoli is a very nice food and beverage category that is categorized under beverage cuisine</v>
      </c>
      <c r="G438">
        <f>VLOOKUP(IngredientGenerator!C438,Ingredient!$A$21:$F$111,6,FALSE)</f>
        <v>1.5</v>
      </c>
    </row>
    <row r="439" spans="1:7" x14ac:dyDescent="0.25">
      <c r="A439">
        <v>23</v>
      </c>
      <c r="B439" t="s">
        <v>112</v>
      </c>
      <c r="C439" t="str">
        <f>IF(B439="western",randomselection(Ingredient!$A$2:$A$18),IF(B439="asian",randomselection(Ingredient!$B$2:$B$18),IF(B439="fusion",randomselection(Ingredient!$C$2:$C$18),IF(B439="asian",randomselection(Ingredient!$B$2:$B$18),IF(B439="vegetable",randomselection(Ingredient!$D$2:$D$18),randomselection(Ingredient!$E$2:$E$18))))))</f>
        <v>canola oil</v>
      </c>
      <c r="D439" t="str">
        <f>VLOOKUP(IngredientGenerator!C439,Ingredient!$A$21:$F$111,2,FALSE)</f>
        <v>can</v>
      </c>
      <c r="E439" t="s">
        <v>112</v>
      </c>
      <c r="F439" t="str">
        <f t="shared" si="6"/>
        <v>canola oil is a very nice food and beverage category that is categorized under western cuisine</v>
      </c>
      <c r="G439">
        <f>VLOOKUP(IngredientGenerator!C439,Ingredient!$A$21:$F$111,6,FALSE)</f>
        <v>5.3</v>
      </c>
    </row>
    <row r="440" spans="1:7" x14ac:dyDescent="0.25">
      <c r="A440">
        <v>24</v>
      </c>
      <c r="B440" t="s">
        <v>112</v>
      </c>
      <c r="C440" t="str">
        <f>IF(B440="western",randomselection(Ingredient!$A$2:$A$18),IF(B440="asian",randomselection(Ingredient!$B$2:$B$18),IF(B440="fusion",randomselection(Ingredient!$C$2:$C$18),IF(B440="asian",randomselection(Ingredient!$B$2:$B$18),IF(B440="vegetable",randomselection(Ingredient!$D$2:$D$18),randomselection(Ingredient!$E$2:$E$18))))))</f>
        <v>garlic</v>
      </c>
      <c r="D440" t="str">
        <f>VLOOKUP(IngredientGenerator!C440,Ingredient!$A$21:$F$111,2,FALSE)</f>
        <v>piece</v>
      </c>
      <c r="E440" t="s">
        <v>112</v>
      </c>
      <c r="F440" t="str">
        <f t="shared" si="6"/>
        <v>garlic is a very nice food and beverage category that is categorized under western cuisine</v>
      </c>
      <c r="G440">
        <f>VLOOKUP(IngredientGenerator!C440,Ingredient!$A$21:$F$111,6,FALSE)</f>
        <v>3.1</v>
      </c>
    </row>
    <row r="441" spans="1:7" x14ac:dyDescent="0.25">
      <c r="A441">
        <v>25</v>
      </c>
      <c r="B441" t="s">
        <v>113</v>
      </c>
      <c r="C441" t="str">
        <f>IF(B441="western",randomselection(Ingredient!$A$2:$A$18),IF(B441="asian",randomselection(Ingredient!$B$2:$B$18),IF(B441="fusion",randomselection(Ingredient!$C$2:$C$18),IF(B441="asian",randomselection(Ingredient!$B$2:$B$18),IF(B441="vegetable",randomselection(Ingredient!$D$2:$D$18),randomselection(Ingredient!$E$2:$E$18))))))</f>
        <v>cornmeal</v>
      </c>
      <c r="D441" t="str">
        <f>VLOOKUP(IngredientGenerator!C441,Ingredient!$A$21:$F$111,2,FALSE)</f>
        <v>can</v>
      </c>
      <c r="E441" t="s">
        <v>113</v>
      </c>
      <c r="F441" t="str">
        <f t="shared" si="6"/>
        <v>cornmeal is a very nice food and beverage category that is categorized under asian cuisine</v>
      </c>
      <c r="G441">
        <f>VLOOKUP(IngredientGenerator!C441,Ingredient!$A$21:$F$111,6,FALSE)</f>
        <v>2.1</v>
      </c>
    </row>
    <row r="442" spans="1:7" x14ac:dyDescent="0.25">
      <c r="A442">
        <v>26</v>
      </c>
      <c r="B442" t="s">
        <v>112</v>
      </c>
      <c r="C442" t="str">
        <f>IF(B442="western",randomselection(Ingredient!$A$2:$A$18),IF(B442="asian",randomselection(Ingredient!$B$2:$B$18),IF(B442="fusion",randomselection(Ingredient!$C$2:$C$18),IF(B442="asian",randomselection(Ingredient!$B$2:$B$18),IF(B442="vegetable",randomselection(Ingredient!$D$2:$D$18),randomselection(Ingredient!$E$2:$E$18))))))</f>
        <v>garlic</v>
      </c>
      <c r="D442" t="str">
        <f>VLOOKUP(IngredientGenerator!C442,Ingredient!$A$21:$F$111,2,FALSE)</f>
        <v>piece</v>
      </c>
      <c r="E442" t="s">
        <v>112</v>
      </c>
      <c r="F442" t="str">
        <f t="shared" si="6"/>
        <v>garlic is a very nice food and beverage category that is categorized under western cuisine</v>
      </c>
      <c r="G442">
        <f>VLOOKUP(IngredientGenerator!C442,Ingredient!$A$21:$F$111,6,FALSE)</f>
        <v>3.1</v>
      </c>
    </row>
    <row r="443" spans="1:7" x14ac:dyDescent="0.25">
      <c r="A443">
        <v>27</v>
      </c>
      <c r="B443" t="s">
        <v>112</v>
      </c>
      <c r="C443" t="str">
        <f>IF(B443="western",randomselection(Ingredient!$A$2:$A$18),IF(B443="asian",randomselection(Ingredient!$B$2:$B$18),IF(B443="fusion",randomselection(Ingredient!$C$2:$C$18),IF(B443="asian",randomselection(Ingredient!$B$2:$B$18),IF(B443="vegetable",randomselection(Ingredient!$D$2:$D$18),randomselection(Ingredient!$E$2:$E$18))))))</f>
        <v>lobsters</v>
      </c>
      <c r="D443" t="str">
        <f>VLOOKUP(IngredientGenerator!C443,Ingredient!$A$21:$F$111,2,FALSE)</f>
        <v>piece</v>
      </c>
      <c r="E443" t="s">
        <v>112</v>
      </c>
      <c r="F443" t="str">
        <f t="shared" si="6"/>
        <v>lobsters is a very nice food and beverage category that is categorized under western cuisine</v>
      </c>
      <c r="G443">
        <f>VLOOKUP(IngredientGenerator!C443,Ingredient!$A$21:$F$111,6,FALSE)</f>
        <v>5</v>
      </c>
    </row>
    <row r="444" spans="1:7" x14ac:dyDescent="0.25">
      <c r="A444">
        <v>28</v>
      </c>
      <c r="B444" t="s">
        <v>114</v>
      </c>
      <c r="C444" t="str">
        <f>IF(B444="western",randomselection(Ingredient!$A$2:$A$18),IF(B444="asian",randomselection(Ingredient!$B$2:$B$18),IF(B444="fusion",randomselection(Ingredient!$C$2:$C$18),IF(B444="asian",randomselection(Ingredient!$B$2:$B$18),IF(B444="vegetable",randomselection(Ingredient!$D$2:$D$18),randomselection(Ingredient!$E$2:$E$18))))))</f>
        <v>colby cheese</v>
      </c>
      <c r="D444" t="str">
        <f>VLOOKUP(IngredientGenerator!C444,Ingredient!$A$21:$F$111,2,FALSE)</f>
        <v>package</v>
      </c>
      <c r="E444" t="s">
        <v>114</v>
      </c>
      <c r="F444" t="str">
        <f t="shared" si="6"/>
        <v>colby cheese is a very nice food and beverage category that is categorized under fusion cuisine</v>
      </c>
      <c r="G444">
        <f>VLOOKUP(IngredientGenerator!C444,Ingredient!$A$21:$F$111,6,FALSE)</f>
        <v>2.2000000000000002</v>
      </c>
    </row>
    <row r="445" spans="1:7" x14ac:dyDescent="0.25">
      <c r="A445">
        <v>29</v>
      </c>
      <c r="B445" t="s">
        <v>114</v>
      </c>
      <c r="C445" t="str">
        <f>IF(B445="western",randomselection(Ingredient!$A$2:$A$18),IF(B445="asian",randomselection(Ingredient!$B$2:$B$18),IF(B445="fusion",randomselection(Ingredient!$C$2:$C$18),IF(B445="asian",randomselection(Ingredient!$B$2:$B$18),IF(B445="vegetable",randomselection(Ingredient!$D$2:$D$18),randomselection(Ingredient!$E$2:$E$18))))))</f>
        <v>spearmint</v>
      </c>
      <c r="D445" t="str">
        <f>VLOOKUP(IngredientGenerator!C445,Ingredient!$A$21:$F$111,2,FALSE)</f>
        <v>package</v>
      </c>
      <c r="E445" t="s">
        <v>114</v>
      </c>
      <c r="F445" t="str">
        <f t="shared" si="6"/>
        <v>spearmint is a very nice food and beverage category that is categorized under fusion cuisine</v>
      </c>
      <c r="G445">
        <f>VLOOKUP(IngredientGenerator!C445,Ingredient!$A$21:$F$111,6,FALSE)</f>
        <v>4</v>
      </c>
    </row>
    <row r="446" spans="1:7" x14ac:dyDescent="0.25">
      <c r="A446">
        <v>30</v>
      </c>
      <c r="B446" t="s">
        <v>116</v>
      </c>
      <c r="C446" t="str">
        <f>IF(B446="western",randomselection(Ingredient!$A$2:$A$18),IF(B446="asian",randomselection(Ingredient!$B$2:$B$18),IF(B446="fusion",randomselection(Ingredient!$C$2:$C$18),IF(B446="asian",randomselection(Ingredient!$B$2:$B$18),IF(B446="vegetable",randomselection(Ingredient!$D$2:$D$18),randomselection(Ingredient!$E$2:$E$18))))))</f>
        <v>buckwheat</v>
      </c>
      <c r="D446" t="str">
        <f>VLOOKUP(IngredientGenerator!C446,Ingredient!$A$21:$F$111,2,FALSE)</f>
        <v>package</v>
      </c>
      <c r="E446" t="s">
        <v>116</v>
      </c>
      <c r="F446" t="str">
        <f t="shared" si="6"/>
        <v>buckwheat is a very nice food and beverage category that is categorized under beverage cuisine</v>
      </c>
      <c r="G446">
        <f>VLOOKUP(IngredientGenerator!C446,Ingredient!$A$21:$F$111,6,FALSE)</f>
        <v>5.6</v>
      </c>
    </row>
    <row r="447" spans="1:7" x14ac:dyDescent="0.25">
      <c r="A447">
        <v>31</v>
      </c>
      <c r="B447" t="s">
        <v>116</v>
      </c>
      <c r="C447" t="str">
        <f>IF(B447="western",randomselection(Ingredient!$A$2:$A$18),IF(B447="asian",randomselection(Ingredient!$B$2:$B$18),IF(B447="fusion",randomselection(Ingredient!$C$2:$C$18),IF(B447="asian",randomselection(Ingredient!$B$2:$B$18),IF(B447="vegetable",randomselection(Ingredient!$D$2:$D$18),randomselection(Ingredient!$E$2:$E$18))))))</f>
        <v>chestnuts</v>
      </c>
      <c r="D447" t="str">
        <f>VLOOKUP(IngredientGenerator!C447,Ingredient!$A$21:$F$111,2,FALSE)</f>
        <v>can</v>
      </c>
      <c r="E447" t="s">
        <v>116</v>
      </c>
      <c r="F447" t="str">
        <f t="shared" si="6"/>
        <v>chestnuts is a very nice food and beverage category that is categorized under beverage cuisine</v>
      </c>
      <c r="G447">
        <f>VLOOKUP(IngredientGenerator!C447,Ingredient!$A$21:$F$111,6,FALSE)</f>
        <v>2.9</v>
      </c>
    </row>
    <row r="448" spans="1:7" x14ac:dyDescent="0.25">
      <c r="A448">
        <v>32</v>
      </c>
      <c r="B448" t="s">
        <v>114</v>
      </c>
      <c r="C448" t="str">
        <f>IF(B448="western",randomselection(Ingredient!$A$2:$A$18),IF(B448="asian",randomselection(Ingredient!$B$2:$B$18),IF(B448="fusion",randomselection(Ingredient!$C$2:$C$18),IF(B448="asian",randomselection(Ingredient!$B$2:$B$18),IF(B448="vegetable",randomselection(Ingredient!$D$2:$D$18),randomselection(Ingredient!$E$2:$E$18))))))</f>
        <v>apples</v>
      </c>
      <c r="D448" t="str">
        <f>VLOOKUP(IngredientGenerator!C448,Ingredient!$A$21:$F$111,2,FALSE)</f>
        <v>package</v>
      </c>
      <c r="E448" t="s">
        <v>114</v>
      </c>
      <c r="F448" t="str">
        <f t="shared" si="6"/>
        <v>apples is a very nice food and beverage category that is categorized under fusion cuisine</v>
      </c>
      <c r="G448">
        <f>VLOOKUP(IngredientGenerator!C448,Ingredient!$A$21:$F$111,6,FALSE)</f>
        <v>2.5</v>
      </c>
    </row>
    <row r="449" spans="1:7" x14ac:dyDescent="0.25">
      <c r="A449">
        <v>33</v>
      </c>
      <c r="B449" t="s">
        <v>112</v>
      </c>
      <c r="C449" t="str">
        <f>IF(B449="western",randomselection(Ingredient!$A$2:$A$18),IF(B449="asian",randomselection(Ingredient!$B$2:$B$18),IF(B449="fusion",randomselection(Ingredient!$C$2:$C$18),IF(B449="asian",randomselection(Ingredient!$B$2:$B$18),IF(B449="vegetable",randomselection(Ingredient!$D$2:$D$18),randomselection(Ingredient!$E$2:$E$18))))))</f>
        <v>corned beef</v>
      </c>
      <c r="D449" t="str">
        <f>VLOOKUP(IngredientGenerator!C449,Ingredient!$A$21:$F$111,2,FALSE)</f>
        <v>can</v>
      </c>
      <c r="E449" t="s">
        <v>112</v>
      </c>
      <c r="F449" t="str">
        <f t="shared" si="6"/>
        <v>corned beef is a very nice food and beverage category that is categorized under western cuisine</v>
      </c>
      <c r="G449">
        <f>VLOOKUP(IngredientGenerator!C449,Ingredient!$A$21:$F$111,6,FALSE)</f>
        <v>5.0999999999999996</v>
      </c>
    </row>
    <row r="450" spans="1:7" x14ac:dyDescent="0.25">
      <c r="A450">
        <v>34</v>
      </c>
      <c r="B450" t="s">
        <v>112</v>
      </c>
      <c r="C450" t="str">
        <f>IF(B450="western",randomselection(Ingredient!$A$2:$A$18),IF(B450="asian",randomselection(Ingredient!$B$2:$B$18),IF(B450="fusion",randomselection(Ingredient!$C$2:$C$18),IF(B450="asian",randomselection(Ingredient!$B$2:$B$18),IF(B450="vegetable",randomselection(Ingredient!$D$2:$D$18),randomselection(Ingredient!$E$2:$E$18))))))</f>
        <v>lobsters</v>
      </c>
      <c r="D450" t="str">
        <f>VLOOKUP(IngredientGenerator!C450,Ingredient!$A$21:$F$111,2,FALSE)</f>
        <v>piece</v>
      </c>
      <c r="E450" t="s">
        <v>112</v>
      </c>
      <c r="F450" t="str">
        <f t="shared" ref="F450:F481" si="7">CONCATENATE(C450," is a very nice food and beverage category that is categorized under ",E450," cuisine")</f>
        <v>lobsters is a very nice food and beverage category that is categorized under western cuisine</v>
      </c>
      <c r="G450">
        <f>VLOOKUP(IngredientGenerator!C450,Ingredient!$A$21:$F$111,6,FALSE)</f>
        <v>5</v>
      </c>
    </row>
    <row r="451" spans="1:7" x14ac:dyDescent="0.25">
      <c r="A451">
        <v>35</v>
      </c>
      <c r="B451" t="s">
        <v>113</v>
      </c>
      <c r="C451" t="str">
        <f>IF(B451="western",randomselection(Ingredient!$A$2:$A$18),IF(B451="asian",randomselection(Ingredient!$B$2:$B$18),IF(B451="fusion",randomselection(Ingredient!$C$2:$C$18),IF(B451="asian",randomselection(Ingredient!$B$2:$B$18),IF(B451="vegetable",randomselection(Ingredient!$D$2:$D$18),randomselection(Ingredient!$E$2:$E$18))))))</f>
        <v>cantaloupes</v>
      </c>
      <c r="D451" t="str">
        <f>VLOOKUP(IngredientGenerator!C451,Ingredient!$A$21:$F$111,2,FALSE)</f>
        <v>piece</v>
      </c>
      <c r="E451" t="s">
        <v>113</v>
      </c>
      <c r="F451" t="str">
        <f t="shared" si="7"/>
        <v>cantaloupes is a very nice food and beverage category that is categorized under asian cuisine</v>
      </c>
      <c r="G451">
        <f>VLOOKUP(IngredientGenerator!C451,Ingredient!$A$21:$F$111,6,FALSE)</f>
        <v>6.9</v>
      </c>
    </row>
    <row r="452" spans="1:7" x14ac:dyDescent="0.25">
      <c r="A452">
        <v>36</v>
      </c>
      <c r="B452" t="s">
        <v>112</v>
      </c>
      <c r="C452" t="str">
        <f>IF(B452="western",randomselection(Ingredient!$A$2:$A$18),IF(B452="asian",randomselection(Ingredient!$B$2:$B$18),IF(B452="fusion",randomselection(Ingredient!$C$2:$C$18),IF(B452="asian",randomselection(Ingredient!$B$2:$B$18),IF(B452="vegetable",randomselection(Ingredient!$D$2:$D$18),randomselection(Ingredient!$E$2:$E$18))))))</f>
        <v>cream of tartar</v>
      </c>
      <c r="D452" t="str">
        <f>VLOOKUP(IngredientGenerator!C452,Ingredient!$A$21:$F$111,2,FALSE)</f>
        <v>can</v>
      </c>
      <c r="E452" t="s">
        <v>112</v>
      </c>
      <c r="F452" t="str">
        <f t="shared" si="7"/>
        <v>cream of tartar is a very nice food and beverage category that is categorized under western cuisine</v>
      </c>
      <c r="G452">
        <f>VLOOKUP(IngredientGenerator!C452,Ingredient!$A$21:$F$111,6,FALSE)</f>
        <v>2.2000000000000002</v>
      </c>
    </row>
    <row r="453" spans="1:7" x14ac:dyDescent="0.25">
      <c r="A453">
        <v>37</v>
      </c>
      <c r="B453" t="s">
        <v>115</v>
      </c>
      <c r="C453" t="str">
        <f>IF(B453="western",randomselection(Ingredient!$A$2:$A$18),IF(B453="asian",randomselection(Ingredient!$B$2:$B$18),IF(B453="fusion",randomselection(Ingredient!$C$2:$C$18),IF(B453="asian",randomselection(Ingredient!$B$2:$B$18),IF(B453="vegetable",randomselection(Ingredient!$D$2:$D$18),randomselection(Ingredient!$E$2:$E$18))))))</f>
        <v>black-eyed peas</v>
      </c>
      <c r="D453" t="str">
        <f>VLOOKUP(IngredientGenerator!C453,Ingredient!$A$21:$F$111,2,FALSE)</f>
        <v>can</v>
      </c>
      <c r="E453" t="s">
        <v>115</v>
      </c>
      <c r="F453" t="str">
        <f t="shared" si="7"/>
        <v>black-eyed peas is a very nice food and beverage category that is categorized under vegetable cuisine</v>
      </c>
      <c r="G453">
        <f>VLOOKUP(IngredientGenerator!C453,Ingredient!$A$21:$F$111,6,FALSE)</f>
        <v>2.5</v>
      </c>
    </row>
    <row r="454" spans="1:7" x14ac:dyDescent="0.25">
      <c r="A454">
        <v>38</v>
      </c>
      <c r="B454" t="s">
        <v>114</v>
      </c>
      <c r="C454" t="str">
        <f>IF(B454="western",randomselection(Ingredient!$A$2:$A$18),IF(B454="asian",randomselection(Ingredient!$B$2:$B$18),IF(B454="fusion",randomselection(Ingredient!$C$2:$C$18),IF(B454="asian",randomselection(Ingredient!$B$2:$B$18),IF(B454="vegetable",randomselection(Ingredient!$D$2:$D$18),randomselection(Ingredient!$E$2:$E$18))))))</f>
        <v>red pepper flakes</v>
      </c>
      <c r="D454" t="str">
        <f>VLOOKUP(IngredientGenerator!C454,Ingredient!$A$21:$F$111,2,FALSE)</f>
        <v>package</v>
      </c>
      <c r="E454" t="s">
        <v>114</v>
      </c>
      <c r="F454" t="str">
        <f t="shared" si="7"/>
        <v>red pepper flakes is a very nice food and beverage category that is categorized under fusion cuisine</v>
      </c>
      <c r="G454">
        <f>VLOOKUP(IngredientGenerator!C454,Ingredient!$A$21:$F$111,6,FALSE)</f>
        <v>2</v>
      </c>
    </row>
    <row r="455" spans="1:7" x14ac:dyDescent="0.25">
      <c r="A455">
        <v>39</v>
      </c>
      <c r="B455" t="s">
        <v>114</v>
      </c>
      <c r="C455" t="str">
        <f>IF(B455="western",randomselection(Ingredient!$A$2:$A$18),IF(B455="asian",randomselection(Ingredient!$B$2:$B$18),IF(B455="fusion",randomselection(Ingredient!$C$2:$C$18),IF(B455="asian",randomselection(Ingredient!$B$2:$B$18),IF(B455="vegetable",randomselection(Ingredient!$D$2:$D$18),randomselection(Ingredient!$E$2:$E$18))))))</f>
        <v>cabbage</v>
      </c>
      <c r="D455" t="str">
        <f>VLOOKUP(IngredientGenerator!C455,Ingredient!$A$21:$F$111,2,FALSE)</f>
        <v>piece</v>
      </c>
      <c r="E455" t="s">
        <v>114</v>
      </c>
      <c r="F455" t="str">
        <f t="shared" si="7"/>
        <v>cabbage is a very nice food and beverage category that is categorized under fusion cuisine</v>
      </c>
      <c r="G455">
        <f>VLOOKUP(IngredientGenerator!C455,Ingredient!$A$21:$F$111,6,FALSE)</f>
        <v>4.9000000000000004</v>
      </c>
    </row>
    <row r="456" spans="1:7" x14ac:dyDescent="0.25">
      <c r="A456">
        <v>40</v>
      </c>
      <c r="B456" t="s">
        <v>113</v>
      </c>
      <c r="C456" t="str">
        <f>IF(B456="western",randomselection(Ingredient!$A$2:$A$18),IF(B456="asian",randomselection(Ingredient!$B$2:$B$18),IF(B456="fusion",randomselection(Ingredient!$C$2:$C$18),IF(B456="asian",randomselection(Ingredient!$B$2:$B$18),IF(B456="vegetable",randomselection(Ingredient!$D$2:$D$18),randomselection(Ingredient!$E$2:$E$18))))))</f>
        <v>tea</v>
      </c>
      <c r="D456" t="str">
        <f>VLOOKUP(IngredientGenerator!C456,Ingredient!$A$21:$F$111,2,FALSE)</f>
        <v>package</v>
      </c>
      <c r="E456" t="s">
        <v>113</v>
      </c>
      <c r="F456" t="str">
        <f t="shared" si="7"/>
        <v>tea is a very nice food and beverage category that is categorized under asian cuisine</v>
      </c>
      <c r="G456">
        <f>VLOOKUP(IngredientGenerator!C456,Ingredient!$A$21:$F$111,6,FALSE)</f>
        <v>3.2</v>
      </c>
    </row>
    <row r="457" spans="1:7" x14ac:dyDescent="0.25">
      <c r="A457">
        <v>41</v>
      </c>
      <c r="B457" t="s">
        <v>115</v>
      </c>
      <c r="C457" t="str">
        <f>IF(B457="western",randomselection(Ingredient!$A$2:$A$18),IF(B457="asian",randomselection(Ingredient!$B$2:$B$18),IF(B457="fusion",randomselection(Ingredient!$C$2:$C$18),IF(B457="asian",randomselection(Ingredient!$B$2:$B$18),IF(B457="vegetable",randomselection(Ingredient!$D$2:$D$18),randomselection(Ingredient!$E$2:$E$18))))))</f>
        <v>nectarines</v>
      </c>
      <c r="D457" t="str">
        <f>VLOOKUP(IngredientGenerator!C457,Ingredient!$A$21:$F$111,2,FALSE)</f>
        <v>can</v>
      </c>
      <c r="E457" t="s">
        <v>115</v>
      </c>
      <c r="F457" t="str">
        <f t="shared" si="7"/>
        <v>nectarines is a very nice food and beverage category that is categorized under vegetable cuisine</v>
      </c>
      <c r="G457">
        <f>VLOOKUP(IngredientGenerator!C457,Ingredient!$A$21:$F$111,6,FALSE)</f>
        <v>2</v>
      </c>
    </row>
    <row r="458" spans="1:7" x14ac:dyDescent="0.25">
      <c r="A458">
        <v>42</v>
      </c>
      <c r="B458" t="s">
        <v>114</v>
      </c>
      <c r="C458" t="str">
        <f>IF(B458="western",randomselection(Ingredient!$A$2:$A$18),IF(B458="asian",randomselection(Ingredient!$B$2:$B$18),IF(B458="fusion",randomselection(Ingredient!$C$2:$C$18),IF(B458="asian",randomselection(Ingredient!$B$2:$B$18),IF(B458="vegetable",randomselection(Ingredient!$D$2:$D$18),randomselection(Ingredient!$E$2:$E$18))))))</f>
        <v>mackerel</v>
      </c>
      <c r="D458" t="str">
        <f>VLOOKUP(IngredientGenerator!C458,Ingredient!$A$21:$F$111,2,FALSE)</f>
        <v>piece</v>
      </c>
      <c r="E458" t="s">
        <v>114</v>
      </c>
      <c r="F458" t="str">
        <f t="shared" si="7"/>
        <v>mackerel is a very nice food and beverage category that is categorized under fusion cuisine</v>
      </c>
      <c r="G458">
        <f>VLOOKUP(IngredientGenerator!C458,Ingredient!$A$21:$F$111,6,FALSE)</f>
        <v>8.3000000000000007</v>
      </c>
    </row>
    <row r="459" spans="1:7" x14ac:dyDescent="0.25">
      <c r="A459">
        <v>43</v>
      </c>
      <c r="B459" t="s">
        <v>112</v>
      </c>
      <c r="C459" t="str">
        <f>IF(B459="western",randomselection(Ingredient!$A$2:$A$18),IF(B459="asian",randomselection(Ingredient!$B$2:$B$18),IF(B459="fusion",randomselection(Ingredient!$C$2:$C$18),IF(B459="asian",randomselection(Ingredient!$B$2:$B$18),IF(B459="vegetable",randomselection(Ingredient!$D$2:$D$18),randomselection(Ingredient!$E$2:$E$18))))))</f>
        <v>sauerkraut</v>
      </c>
      <c r="D459" t="str">
        <f>VLOOKUP(IngredientGenerator!C459,Ingredient!$A$21:$F$111,2,FALSE)</f>
        <v>can</v>
      </c>
      <c r="E459" t="s">
        <v>112</v>
      </c>
      <c r="F459" t="str">
        <f t="shared" si="7"/>
        <v>sauerkraut is a very nice food and beverage category that is categorized under western cuisine</v>
      </c>
      <c r="G459">
        <f>VLOOKUP(IngredientGenerator!C459,Ingredient!$A$21:$F$111,6,FALSE)</f>
        <v>4</v>
      </c>
    </row>
    <row r="460" spans="1:7" x14ac:dyDescent="0.25">
      <c r="A460">
        <v>44</v>
      </c>
      <c r="B460" t="s">
        <v>112</v>
      </c>
      <c r="C460" t="str">
        <f>IF(B460="western",randomselection(Ingredient!$A$2:$A$18),IF(B460="asian",randomselection(Ingredient!$B$2:$B$18),IF(B460="fusion",randomselection(Ingredient!$C$2:$C$18),IF(B460="asian",randomselection(Ingredient!$B$2:$B$18),IF(B460="vegetable",randomselection(Ingredient!$D$2:$D$18),randomselection(Ingredient!$E$2:$E$18))))))</f>
        <v>ale</v>
      </c>
      <c r="D460" t="str">
        <f>VLOOKUP(IngredientGenerator!C460,Ingredient!$A$21:$F$111,2,FALSE)</f>
        <v>package</v>
      </c>
      <c r="E460" t="s">
        <v>112</v>
      </c>
      <c r="F460" t="str">
        <f t="shared" si="7"/>
        <v>ale is a very nice food and beverage category that is categorized under western cuisine</v>
      </c>
      <c r="G460">
        <f>VLOOKUP(IngredientGenerator!C460,Ingredient!$A$21:$F$111,6,FALSE)</f>
        <v>2.2999999999999998</v>
      </c>
    </row>
    <row r="461" spans="1:7" x14ac:dyDescent="0.25">
      <c r="A461">
        <v>45</v>
      </c>
      <c r="B461" t="s">
        <v>112</v>
      </c>
      <c r="C461" t="str">
        <f>IF(B461="western",randomselection(Ingredient!$A$2:$A$18),IF(B461="asian",randomselection(Ingredient!$B$2:$B$18),IF(B461="fusion",randomselection(Ingredient!$C$2:$C$18),IF(B461="asian",randomselection(Ingredient!$B$2:$B$18),IF(B461="vegetable",randomselection(Ingredient!$D$2:$D$18),randomselection(Ingredient!$E$2:$E$18))))))</f>
        <v>spaghetti squash</v>
      </c>
      <c r="D461" t="str">
        <f>VLOOKUP(IngredientGenerator!C461,Ingredient!$A$21:$F$111,2,FALSE)</f>
        <v>package</v>
      </c>
      <c r="E461" t="s">
        <v>112</v>
      </c>
      <c r="F461" t="str">
        <f t="shared" si="7"/>
        <v>spaghetti squash is a very nice food and beverage category that is categorized under western cuisine</v>
      </c>
      <c r="G461">
        <f>VLOOKUP(IngredientGenerator!C461,Ingredient!$A$21:$F$111,6,FALSE)</f>
        <v>5</v>
      </c>
    </row>
    <row r="462" spans="1:7" x14ac:dyDescent="0.25">
      <c r="A462">
        <v>46</v>
      </c>
      <c r="B462" t="s">
        <v>115</v>
      </c>
      <c r="C462" t="str">
        <f>IF(B462="western",randomselection(Ingredient!$A$2:$A$18),IF(B462="asian",randomselection(Ingredient!$B$2:$B$18),IF(B462="fusion",randomselection(Ingredient!$C$2:$C$18),IF(B462="asian",randomselection(Ingredient!$B$2:$B$18),IF(B462="vegetable",randomselection(Ingredient!$D$2:$D$18),randomselection(Ingredient!$E$2:$E$18))))))</f>
        <v>salsa</v>
      </c>
      <c r="D462" t="str">
        <f>VLOOKUP(IngredientGenerator!C462,Ingredient!$A$21:$F$111,2,FALSE)</f>
        <v>can</v>
      </c>
      <c r="E462" t="s">
        <v>115</v>
      </c>
      <c r="F462" t="str">
        <f t="shared" si="7"/>
        <v>salsa is a very nice food and beverage category that is categorized under vegetable cuisine</v>
      </c>
      <c r="G462">
        <f>VLOOKUP(IngredientGenerator!C462,Ingredient!$A$21:$F$111,6,FALSE)</f>
        <v>3.4</v>
      </c>
    </row>
    <row r="463" spans="1:7" x14ac:dyDescent="0.25">
      <c r="A463">
        <v>47</v>
      </c>
      <c r="B463" t="s">
        <v>114</v>
      </c>
      <c r="C463" t="str">
        <f>IF(B463="western",randomselection(Ingredient!$A$2:$A$18),IF(B463="asian",randomselection(Ingredient!$B$2:$B$18),IF(B463="fusion",randomselection(Ingredient!$C$2:$C$18),IF(B463="asian",randomselection(Ingredient!$B$2:$B$18),IF(B463="vegetable",randomselection(Ingredient!$D$2:$D$18),randomselection(Ingredient!$E$2:$E$18))))))</f>
        <v>spearmint</v>
      </c>
      <c r="D463" t="str">
        <f>VLOOKUP(IngredientGenerator!C463,Ingredient!$A$21:$F$111,2,FALSE)</f>
        <v>package</v>
      </c>
      <c r="E463" t="s">
        <v>114</v>
      </c>
      <c r="F463" t="str">
        <f t="shared" si="7"/>
        <v>spearmint is a very nice food and beverage category that is categorized under fusion cuisine</v>
      </c>
      <c r="G463">
        <f>VLOOKUP(IngredientGenerator!C463,Ingredient!$A$21:$F$111,6,FALSE)</f>
        <v>4</v>
      </c>
    </row>
    <row r="464" spans="1:7" x14ac:dyDescent="0.25">
      <c r="A464">
        <v>48</v>
      </c>
      <c r="B464" t="s">
        <v>114</v>
      </c>
      <c r="C464" t="str">
        <f>IF(B464="western",randomselection(Ingredient!$A$2:$A$18),IF(B464="asian",randomselection(Ingredient!$B$2:$B$18),IF(B464="fusion",randomselection(Ingredient!$C$2:$C$18),IF(B464="asian",randomselection(Ingredient!$B$2:$B$18),IF(B464="vegetable",randomselection(Ingredient!$D$2:$D$18),randomselection(Ingredient!$E$2:$E$18))))))</f>
        <v>colby cheese</v>
      </c>
      <c r="D464" t="str">
        <f>VLOOKUP(IngredientGenerator!C464,Ingredient!$A$21:$F$111,2,FALSE)</f>
        <v>package</v>
      </c>
      <c r="E464" t="s">
        <v>114</v>
      </c>
      <c r="F464" t="str">
        <f t="shared" si="7"/>
        <v>colby cheese is a very nice food and beverage category that is categorized under fusion cuisine</v>
      </c>
      <c r="G464">
        <f>VLOOKUP(IngredientGenerator!C464,Ingredient!$A$21:$F$111,6,FALSE)</f>
        <v>2.2000000000000002</v>
      </c>
    </row>
    <row r="465" spans="1:7" x14ac:dyDescent="0.25">
      <c r="A465">
        <v>49</v>
      </c>
      <c r="B465" t="s">
        <v>114</v>
      </c>
      <c r="C465" t="str">
        <f>IF(B465="western",randomselection(Ingredient!$A$2:$A$18),IF(B465="asian",randomselection(Ingredient!$B$2:$B$18),IF(B465="fusion",randomselection(Ingredient!$C$2:$C$18),IF(B465="asian",randomselection(Ingredient!$B$2:$B$18),IF(B465="vegetable",randomselection(Ingredient!$D$2:$D$18),randomselection(Ingredient!$E$2:$E$18))))))</f>
        <v>cottage cheese</v>
      </c>
      <c r="D465" t="str">
        <f>VLOOKUP(IngredientGenerator!C465,Ingredient!$A$21:$F$111,2,FALSE)</f>
        <v>package</v>
      </c>
      <c r="E465" t="s">
        <v>114</v>
      </c>
      <c r="F465" t="str">
        <f t="shared" si="7"/>
        <v>cottage cheese is a very nice food and beverage category that is categorized under fusion cuisine</v>
      </c>
      <c r="G465">
        <f>VLOOKUP(IngredientGenerator!C465,Ingredient!$A$21:$F$111,6,FALSE)</f>
        <v>3.1</v>
      </c>
    </row>
    <row r="466" spans="1:7" x14ac:dyDescent="0.25">
      <c r="A466">
        <v>50</v>
      </c>
      <c r="B466" t="s">
        <v>114</v>
      </c>
      <c r="C466" t="str">
        <f>IF(B466="western",randomselection(Ingredient!$A$2:$A$18),IF(B466="asian",randomselection(Ingredient!$B$2:$B$18),IF(B466="fusion",randomselection(Ingredient!$C$2:$C$18),IF(B466="asian",randomselection(Ingredient!$B$2:$B$18),IF(B466="vegetable",randomselection(Ingredient!$D$2:$D$18),randomselection(Ingredient!$E$2:$E$18))))))</f>
        <v>hot sauce</v>
      </c>
      <c r="D466" t="str">
        <f>VLOOKUP(IngredientGenerator!C466,Ingredient!$A$21:$F$111,2,FALSE)</f>
        <v>can</v>
      </c>
      <c r="E466" t="s">
        <v>114</v>
      </c>
      <c r="F466" t="str">
        <f t="shared" si="7"/>
        <v>hot sauce is a very nice food and beverage category that is categorized under fusion cuisine</v>
      </c>
      <c r="G466">
        <f>VLOOKUP(IngredientGenerator!C466,Ingredient!$A$21:$F$111,6,FALSE)</f>
        <v>1</v>
      </c>
    </row>
    <row r="467" spans="1:7" x14ac:dyDescent="0.25">
      <c r="A467">
        <v>51</v>
      </c>
      <c r="B467" t="s">
        <v>114</v>
      </c>
      <c r="C467" t="str">
        <f>IF(B467="western",randomselection(Ingredient!$A$2:$A$18),IF(B467="asian",randomselection(Ingredient!$B$2:$B$18),IF(B467="fusion",randomselection(Ingredient!$C$2:$C$18),IF(B467="asian",randomselection(Ingredient!$B$2:$B$18),IF(B467="vegetable",randomselection(Ingredient!$D$2:$D$18),randomselection(Ingredient!$E$2:$E$18))))))</f>
        <v>eggplants</v>
      </c>
      <c r="D467" t="str">
        <f>VLOOKUP(IngredientGenerator!C467,Ingredient!$A$21:$F$111,2,FALSE)</f>
        <v>can</v>
      </c>
      <c r="E467" t="s">
        <v>114</v>
      </c>
      <c r="F467" t="str">
        <f t="shared" si="7"/>
        <v>eggplants is a very nice food and beverage category that is categorized under fusion cuisine</v>
      </c>
      <c r="G467">
        <f>VLOOKUP(IngredientGenerator!C467,Ingredient!$A$21:$F$111,6,FALSE)</f>
        <v>5.8</v>
      </c>
    </row>
    <row r="468" spans="1:7" x14ac:dyDescent="0.25">
      <c r="A468">
        <v>52</v>
      </c>
      <c r="B468" t="s">
        <v>114</v>
      </c>
      <c r="C468" t="str">
        <f>IF(B468="western",randomselection(Ingredient!$A$2:$A$18),IF(B468="asian",randomselection(Ingredient!$B$2:$B$18),IF(B468="fusion",randomselection(Ingredient!$C$2:$C$18),IF(B468="asian",randomselection(Ingredient!$B$2:$B$18),IF(B468="vegetable",randomselection(Ingredient!$D$2:$D$18),randomselection(Ingredient!$E$2:$E$18))))))</f>
        <v>red pepper flakes</v>
      </c>
      <c r="D468" t="str">
        <f>VLOOKUP(IngredientGenerator!C468,Ingredient!$A$21:$F$111,2,FALSE)</f>
        <v>package</v>
      </c>
      <c r="E468" t="s">
        <v>114</v>
      </c>
      <c r="F468" t="str">
        <f t="shared" si="7"/>
        <v>red pepper flakes is a very nice food and beverage category that is categorized under fusion cuisine</v>
      </c>
      <c r="G468">
        <f>VLOOKUP(IngredientGenerator!C468,Ingredient!$A$21:$F$111,6,FALSE)</f>
        <v>2</v>
      </c>
    </row>
    <row r="469" spans="1:7" x14ac:dyDescent="0.25">
      <c r="A469">
        <v>53</v>
      </c>
      <c r="B469" t="s">
        <v>113</v>
      </c>
      <c r="C469" t="str">
        <f>IF(B469="western",randomselection(Ingredient!$A$2:$A$18),IF(B469="asian",randomselection(Ingredient!$B$2:$B$18),IF(B469="fusion",randomselection(Ingredient!$C$2:$C$18),IF(B469="asian",randomselection(Ingredient!$B$2:$B$18),IF(B469="vegetable",randomselection(Ingredient!$D$2:$D$18),randomselection(Ingredient!$E$2:$E$18))))))</f>
        <v>mussels</v>
      </c>
      <c r="D469" t="str">
        <f>VLOOKUP(IngredientGenerator!C469,Ingredient!$A$21:$F$111,2,FALSE)</f>
        <v>package</v>
      </c>
      <c r="E469" t="s">
        <v>113</v>
      </c>
      <c r="F469" t="str">
        <f t="shared" si="7"/>
        <v>mussels is a very nice food and beverage category that is categorized under asian cuisine</v>
      </c>
      <c r="G469">
        <f>VLOOKUP(IngredientGenerator!C469,Ingredient!$A$21:$F$111,6,FALSE)</f>
        <v>6.2</v>
      </c>
    </row>
    <row r="470" spans="1:7" x14ac:dyDescent="0.25">
      <c r="A470">
        <v>54</v>
      </c>
      <c r="B470" t="s">
        <v>114</v>
      </c>
      <c r="C470" t="str">
        <f>IF(B470="western",randomselection(Ingredient!$A$2:$A$18),IF(B470="asian",randomselection(Ingredient!$B$2:$B$18),IF(B470="fusion",randomselection(Ingredient!$C$2:$C$18),IF(B470="asian",randomselection(Ingredient!$B$2:$B$18),IF(B470="vegetable",randomselection(Ingredient!$D$2:$D$18),randomselection(Ingredient!$E$2:$E$18))))))</f>
        <v>eggplants</v>
      </c>
      <c r="D470" t="str">
        <f>VLOOKUP(IngredientGenerator!C470,Ingredient!$A$21:$F$111,2,FALSE)</f>
        <v>can</v>
      </c>
      <c r="E470" t="s">
        <v>114</v>
      </c>
      <c r="F470" t="str">
        <f t="shared" si="7"/>
        <v>eggplants is a very nice food and beverage category that is categorized under fusion cuisine</v>
      </c>
      <c r="G470">
        <f>VLOOKUP(IngredientGenerator!C470,Ingredient!$A$21:$F$111,6,FALSE)</f>
        <v>5.8</v>
      </c>
    </row>
    <row r="471" spans="1:7" x14ac:dyDescent="0.25">
      <c r="A471">
        <v>55</v>
      </c>
      <c r="B471" t="s">
        <v>112</v>
      </c>
      <c r="C471" t="str">
        <f>IF(B471="western",randomselection(Ingredient!$A$2:$A$18),IF(B471="asian",randomselection(Ingredient!$B$2:$B$18),IF(B471="fusion",randomselection(Ingredient!$C$2:$C$18),IF(B471="asian",randomselection(Ingredient!$B$2:$B$18),IF(B471="vegetable",randomselection(Ingredient!$D$2:$D$18),randomselection(Ingredient!$E$2:$E$18))))))</f>
        <v>Canadian bacon</v>
      </c>
      <c r="D471" t="str">
        <f>VLOOKUP(IngredientGenerator!C471,Ingredient!$A$21:$F$111,2,FALSE)</f>
        <v>piece</v>
      </c>
      <c r="E471" t="s">
        <v>112</v>
      </c>
      <c r="F471" t="str">
        <f t="shared" si="7"/>
        <v>Canadian bacon is a very nice food and beverage category that is categorized under western cuisine</v>
      </c>
      <c r="G471">
        <f>VLOOKUP(IngredientGenerator!C471,Ingredient!$A$21:$F$111,6,FALSE)</f>
        <v>1.5</v>
      </c>
    </row>
    <row r="472" spans="1:7" x14ac:dyDescent="0.25">
      <c r="A472">
        <v>56</v>
      </c>
      <c r="B472" t="s">
        <v>112</v>
      </c>
      <c r="C472" t="str">
        <f>IF(B472="western",randomselection(Ingredient!$A$2:$A$18),IF(B472="asian",randomselection(Ingredient!$B$2:$B$18),IF(B472="fusion",randomselection(Ingredient!$C$2:$C$18),IF(B472="asian",randomselection(Ingredient!$B$2:$B$18),IF(B472="vegetable",randomselection(Ingredient!$D$2:$D$18),randomselection(Ingredient!$E$2:$E$18))))))</f>
        <v>Canadian bacon</v>
      </c>
      <c r="D472" t="str">
        <f>VLOOKUP(IngredientGenerator!C472,Ingredient!$A$21:$F$111,2,FALSE)</f>
        <v>piece</v>
      </c>
      <c r="E472" t="s">
        <v>112</v>
      </c>
      <c r="F472" t="str">
        <f t="shared" si="7"/>
        <v>Canadian bacon is a very nice food and beverage category that is categorized under western cuisine</v>
      </c>
      <c r="G472">
        <f>VLOOKUP(IngredientGenerator!C472,Ingredient!$A$21:$F$111,6,FALSE)</f>
        <v>1.5</v>
      </c>
    </row>
    <row r="473" spans="1:7" x14ac:dyDescent="0.25">
      <c r="A473">
        <v>57</v>
      </c>
      <c r="B473" t="s">
        <v>116</v>
      </c>
      <c r="C473" t="str">
        <f>IF(B473="western",randomselection(Ingredient!$A$2:$A$18),IF(B473="asian",randomselection(Ingredient!$B$2:$B$18),IF(B473="fusion",randomselection(Ingredient!$C$2:$C$18),IF(B473="asian",randomselection(Ingredient!$B$2:$B$18),IF(B473="vegetable",randomselection(Ingredient!$D$2:$D$18),randomselection(Ingredient!$E$2:$E$18))))))</f>
        <v>black-eyed peas</v>
      </c>
      <c r="D473" t="str">
        <f>VLOOKUP(IngredientGenerator!C473,Ingredient!$A$21:$F$111,2,FALSE)</f>
        <v>can</v>
      </c>
      <c r="E473" t="s">
        <v>116</v>
      </c>
      <c r="F473" t="str">
        <f t="shared" si="7"/>
        <v>black-eyed peas is a very nice food and beverage category that is categorized under beverage cuisine</v>
      </c>
      <c r="G473">
        <f>VLOOKUP(IngredientGenerator!C473,Ingredient!$A$21:$F$111,6,FALSE)</f>
        <v>2.5</v>
      </c>
    </row>
    <row r="474" spans="1:7" x14ac:dyDescent="0.25">
      <c r="A474">
        <v>58</v>
      </c>
      <c r="B474" t="s">
        <v>112</v>
      </c>
      <c r="C474" t="str">
        <f>IF(B474="western",randomselection(Ingredient!$A$2:$A$18),IF(B474="asian",randomselection(Ingredient!$B$2:$B$18),IF(B474="fusion",randomselection(Ingredient!$C$2:$C$18),IF(B474="asian",randomselection(Ingredient!$B$2:$B$18),IF(B474="vegetable",randomselection(Ingredient!$D$2:$D$18),randomselection(Ingredient!$E$2:$E$18))))))</f>
        <v>poppy seeds</v>
      </c>
      <c r="D474" t="str">
        <f>VLOOKUP(IngredientGenerator!C474,Ingredient!$A$21:$F$111,2,FALSE)</f>
        <v>can</v>
      </c>
      <c r="E474" t="s">
        <v>112</v>
      </c>
      <c r="F474" t="str">
        <f t="shared" si="7"/>
        <v>poppy seeds is a very nice food and beverage category that is categorized under western cuisine</v>
      </c>
      <c r="G474">
        <f>VLOOKUP(IngredientGenerator!C474,Ingredient!$A$21:$F$111,6,FALSE)</f>
        <v>3.7</v>
      </c>
    </row>
    <row r="475" spans="1:7" x14ac:dyDescent="0.25">
      <c r="A475">
        <v>59</v>
      </c>
      <c r="B475" t="s">
        <v>112</v>
      </c>
      <c r="C475" t="str">
        <f>IF(B475="western",randomselection(Ingredient!$A$2:$A$18),IF(B475="asian",randomselection(Ingredient!$B$2:$B$18),IF(B475="fusion",randomselection(Ingredient!$C$2:$C$18),IF(B475="asian",randomselection(Ingredient!$B$2:$B$18),IF(B475="vegetable",randomselection(Ingredient!$D$2:$D$18),randomselection(Ingredient!$E$2:$E$18))))))</f>
        <v>steak</v>
      </c>
      <c r="D475" t="str">
        <f>VLOOKUP(IngredientGenerator!C475,Ingredient!$A$21:$F$111,2,FALSE)</f>
        <v>piece</v>
      </c>
      <c r="E475" t="s">
        <v>112</v>
      </c>
      <c r="F475" t="str">
        <f t="shared" si="7"/>
        <v>steak is a very nice food and beverage category that is categorized under western cuisine</v>
      </c>
      <c r="G475">
        <f>VLOOKUP(IngredientGenerator!C475,Ingredient!$A$21:$F$111,6,FALSE)</f>
        <v>4.5</v>
      </c>
    </row>
    <row r="476" spans="1:7" x14ac:dyDescent="0.25">
      <c r="A476">
        <v>60</v>
      </c>
      <c r="B476" t="s">
        <v>113</v>
      </c>
      <c r="C476" t="str">
        <f>IF(B476="western",randomselection(Ingredient!$A$2:$A$18),IF(B476="asian",randomselection(Ingredient!$B$2:$B$18),IF(B476="fusion",randomselection(Ingredient!$C$2:$C$18),IF(B476="asian",randomselection(Ingredient!$B$2:$B$18),IF(B476="vegetable",randomselection(Ingredient!$D$2:$D$18),randomselection(Ingredient!$E$2:$E$18))))))</f>
        <v>mushrooms</v>
      </c>
      <c r="D476" t="str">
        <f>VLOOKUP(IngredientGenerator!C476,Ingredient!$A$21:$F$111,2,FALSE)</f>
        <v>can</v>
      </c>
      <c r="E476" t="s">
        <v>113</v>
      </c>
      <c r="F476" t="str">
        <f t="shared" si="7"/>
        <v>mushrooms is a very nice food and beverage category that is categorized under asian cuisine</v>
      </c>
      <c r="G476">
        <f>VLOOKUP(IngredientGenerator!C476,Ingredient!$A$21:$F$111,6,FALSE)</f>
        <v>4.4000000000000004</v>
      </c>
    </row>
    <row r="477" spans="1:7" x14ac:dyDescent="0.25">
      <c r="A477">
        <v>61</v>
      </c>
      <c r="B477" t="s">
        <v>113</v>
      </c>
      <c r="C477" t="str">
        <f>IF(B477="western",randomselection(Ingredient!$A$2:$A$18),IF(B477="asian",randomselection(Ingredient!$B$2:$B$18),IF(B477="fusion",randomselection(Ingredient!$C$2:$C$18),IF(B477="asian",randomselection(Ingredient!$B$2:$B$18),IF(B477="vegetable",randomselection(Ingredient!$D$2:$D$18),randomselection(Ingredient!$E$2:$E$18))))))</f>
        <v>cantaloupes</v>
      </c>
      <c r="D477" t="str">
        <f>VLOOKUP(IngredientGenerator!C477,Ingredient!$A$21:$F$111,2,FALSE)</f>
        <v>piece</v>
      </c>
      <c r="E477" t="s">
        <v>113</v>
      </c>
      <c r="F477" t="str">
        <f t="shared" si="7"/>
        <v>cantaloupes is a very nice food and beverage category that is categorized under asian cuisine</v>
      </c>
      <c r="G477">
        <f>VLOOKUP(IngredientGenerator!C477,Ingredient!$A$21:$F$111,6,FALSE)</f>
        <v>6.9</v>
      </c>
    </row>
    <row r="478" spans="1:7" x14ac:dyDescent="0.25">
      <c r="A478">
        <v>62</v>
      </c>
      <c r="B478" t="s">
        <v>112</v>
      </c>
      <c r="C478" t="str">
        <f>IF(B478="western",randomselection(Ingredient!$A$2:$A$18),IF(B478="asian",randomselection(Ingredient!$B$2:$B$18),IF(B478="fusion",randomselection(Ingredient!$C$2:$C$18),IF(B478="asian",randomselection(Ingredient!$B$2:$B$18),IF(B478="vegetable",randomselection(Ingredient!$D$2:$D$18),randomselection(Ingredient!$E$2:$E$18))))))</f>
        <v>pasta</v>
      </c>
      <c r="D478" t="str">
        <f>VLOOKUP(IngredientGenerator!C478,Ingredient!$A$21:$F$111,2,FALSE)</f>
        <v>can</v>
      </c>
      <c r="E478" t="s">
        <v>112</v>
      </c>
      <c r="F478" t="str">
        <f t="shared" si="7"/>
        <v>pasta is a very nice food and beverage category that is categorized under western cuisine</v>
      </c>
      <c r="G478">
        <f>VLOOKUP(IngredientGenerator!C478,Ingredient!$A$21:$F$111,6,FALSE)</f>
        <v>3</v>
      </c>
    </row>
    <row r="479" spans="1:7" x14ac:dyDescent="0.25">
      <c r="A479">
        <v>63</v>
      </c>
      <c r="B479" t="s">
        <v>116</v>
      </c>
      <c r="C479" t="str">
        <f>IF(B479="western",randomselection(Ingredient!$A$2:$A$18),IF(B479="asian",randomselection(Ingredient!$B$2:$B$18),IF(B479="fusion",randomselection(Ingredient!$C$2:$C$18),IF(B479="asian",randomselection(Ingredient!$B$2:$B$18),IF(B479="vegetable",randomselection(Ingredient!$D$2:$D$18),randomselection(Ingredient!$E$2:$E$18))))))</f>
        <v>baking soda</v>
      </c>
      <c r="D479" t="str">
        <f>VLOOKUP(IngredientGenerator!C479,Ingredient!$A$21:$F$111,2,FALSE)</f>
        <v>can</v>
      </c>
      <c r="E479" t="s">
        <v>116</v>
      </c>
      <c r="F479" t="str">
        <f t="shared" si="7"/>
        <v>baking soda is a very nice food and beverage category that is categorized under beverage cuisine</v>
      </c>
      <c r="G479">
        <f>VLOOKUP(IngredientGenerator!C479,Ingredient!$A$21:$F$111,6,FALSE)</f>
        <v>3.9</v>
      </c>
    </row>
    <row r="480" spans="1:7" x14ac:dyDescent="0.25">
      <c r="A480">
        <v>64</v>
      </c>
      <c r="B480" t="s">
        <v>112</v>
      </c>
      <c r="C480" t="str">
        <f>IF(B480="western",randomselection(Ingredient!$A$2:$A$18),IF(B480="asian",randomselection(Ingredient!$B$2:$B$18),IF(B480="fusion",randomselection(Ingredient!$C$2:$C$18),IF(B480="asian",randomselection(Ingredient!$B$2:$B$18),IF(B480="vegetable",randomselection(Ingredient!$D$2:$D$18),randomselection(Ingredient!$E$2:$E$18))))))</f>
        <v>lobsters</v>
      </c>
      <c r="D480" t="str">
        <f>VLOOKUP(IngredientGenerator!C480,Ingredient!$A$21:$F$111,2,FALSE)</f>
        <v>piece</v>
      </c>
      <c r="E480" t="s">
        <v>112</v>
      </c>
      <c r="F480" t="str">
        <f t="shared" si="7"/>
        <v>lobsters is a very nice food and beverage category that is categorized under western cuisine</v>
      </c>
      <c r="G480">
        <f>VLOOKUP(IngredientGenerator!C480,Ingredient!$A$21:$F$111,6,FALSE)</f>
        <v>5</v>
      </c>
    </row>
    <row r="481" spans="1:7" x14ac:dyDescent="0.25">
      <c r="A481">
        <v>65</v>
      </c>
      <c r="B481" t="s">
        <v>112</v>
      </c>
      <c r="C481" t="str">
        <f>IF(B481="western",randomselection(Ingredient!$A$2:$A$18),IF(B481="asian",randomselection(Ingredient!$B$2:$B$18),IF(B481="fusion",randomselection(Ingredient!$C$2:$C$18),IF(B481="asian",randomselection(Ingredient!$B$2:$B$18),IF(B481="vegetable",randomselection(Ingredient!$D$2:$D$18),randomselection(Ingredient!$E$2:$E$18))))))</f>
        <v>garlic</v>
      </c>
      <c r="D481" t="str">
        <f>VLOOKUP(IngredientGenerator!C481,Ingredient!$A$21:$F$111,2,FALSE)</f>
        <v>piece</v>
      </c>
      <c r="E481" t="s">
        <v>112</v>
      </c>
      <c r="F481" t="str">
        <f t="shared" si="7"/>
        <v>garlic is a very nice food and beverage category that is categorized under western cuisine</v>
      </c>
      <c r="G481">
        <f>VLOOKUP(IngredientGenerator!C481,Ingredient!$A$21:$F$111,6,FALSE)</f>
        <v>3.1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06"/>
  <sheetViews>
    <sheetView tabSelected="1" topLeftCell="E383" workbookViewId="0">
      <selection activeCell="I2" sqref="I2:I406"/>
    </sheetView>
  </sheetViews>
  <sheetFormatPr defaultRowHeight="15" x14ac:dyDescent="0.25"/>
  <cols>
    <col min="1" max="4" width="26.140625" customWidth="1"/>
    <col min="5" max="5" width="49.5703125" customWidth="1"/>
    <col min="6" max="6" width="26.140625" customWidth="1"/>
    <col min="7" max="8" width="20.5703125" customWidth="1"/>
  </cols>
  <sheetData>
    <row r="1" spans="1:10" x14ac:dyDescent="0.25">
      <c r="A1" t="s">
        <v>59</v>
      </c>
      <c r="B1" t="s">
        <v>198</v>
      </c>
      <c r="C1" t="s">
        <v>197</v>
      </c>
      <c r="D1" t="s">
        <v>196</v>
      </c>
      <c r="E1" t="s">
        <v>195</v>
      </c>
      <c r="F1" t="s">
        <v>194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6</v>
      </c>
      <c r="B2" t="s">
        <v>236</v>
      </c>
      <c r="C2" t="s">
        <v>200</v>
      </c>
      <c r="D2" t="s">
        <v>112</v>
      </c>
      <c r="E2" t="s">
        <v>312</v>
      </c>
      <c r="F2">
        <v>4.8</v>
      </c>
      <c r="G2">
        <f ca="1">RANDBETWEEN(0,5)</f>
        <v>4</v>
      </c>
      <c r="H2" t="str">
        <f ca="1">IF(RAND()&lt;0.01,"unavailable","available")</f>
        <v>available</v>
      </c>
      <c r="I2" t="str">
        <f ca="1">SqlGenerator(A2:H2)</f>
        <v>(6,'bean threads','can','western','bean threads is a very nice food and beverage category that is categorized under western cuisine',4.8,4,'available'),</v>
      </c>
    </row>
    <row r="3" spans="1:10" x14ac:dyDescent="0.25">
      <c r="A3">
        <v>6</v>
      </c>
      <c r="B3" t="s">
        <v>219</v>
      </c>
      <c r="C3" t="s">
        <v>200</v>
      </c>
      <c r="D3" t="s">
        <v>112</v>
      </c>
      <c r="E3" t="s">
        <v>328</v>
      </c>
      <c r="F3">
        <v>5.3</v>
      </c>
      <c r="G3">
        <f ca="1">RANDBETWEEN(0,5)</f>
        <v>4</v>
      </c>
      <c r="H3" t="str">
        <f t="shared" ref="H3:H66" ca="1" si="0">IF(RAND()&lt;0.01,"unavailable","available")</f>
        <v>available</v>
      </c>
      <c r="I3" t="str">
        <f t="shared" ref="I3:I66" ca="1" si="1">SqlGenerator(A3:H3)</f>
        <v>(6,'canola oil','can','western','canola oil is a very nice food and beverage category that is categorized under western cuisine',5.3,4,'available'),</v>
      </c>
    </row>
    <row r="4" spans="1:10" x14ac:dyDescent="0.25">
      <c r="A4">
        <v>6</v>
      </c>
      <c r="B4" t="s">
        <v>257</v>
      </c>
      <c r="C4" t="s">
        <v>200</v>
      </c>
      <c r="D4" t="s">
        <v>112</v>
      </c>
      <c r="E4" t="s">
        <v>295</v>
      </c>
      <c r="F4">
        <v>2.2000000000000002</v>
      </c>
      <c r="G4">
        <f ca="1">RANDBETWEEN(0,5)</f>
        <v>5</v>
      </c>
      <c r="H4" t="str">
        <f t="shared" ca="1" si="0"/>
        <v>available</v>
      </c>
      <c r="I4" t="str">
        <f t="shared" ca="1" si="1"/>
        <v>(6,'cream of tartar','can','western','cream of tartar is a very nice food and beverage category that is categorized under western cuisine',2.2,5,'available'),</v>
      </c>
    </row>
    <row r="5" spans="1:10" x14ac:dyDescent="0.25">
      <c r="A5">
        <v>6</v>
      </c>
      <c r="B5" t="s">
        <v>235</v>
      </c>
      <c r="C5" t="s">
        <v>202</v>
      </c>
      <c r="D5" t="s">
        <v>112</v>
      </c>
      <c r="E5" t="s">
        <v>336</v>
      </c>
      <c r="F5">
        <v>3.1</v>
      </c>
      <c r="G5">
        <f ca="1">RANDBETWEEN(0,5)</f>
        <v>2</v>
      </c>
      <c r="H5" t="str">
        <f t="shared" ca="1" si="0"/>
        <v>available</v>
      </c>
      <c r="I5" t="str">
        <f t="shared" ca="1" si="1"/>
        <v>(6,'garlic','piece','western','garlic is a very nice food and beverage category that is categorized under western cuisine',3.1,2,'available'),</v>
      </c>
    </row>
    <row r="6" spans="1:10" x14ac:dyDescent="0.25">
      <c r="A6">
        <v>6</v>
      </c>
      <c r="B6" t="s">
        <v>239</v>
      </c>
      <c r="C6" t="s">
        <v>200</v>
      </c>
      <c r="D6" t="s">
        <v>112</v>
      </c>
      <c r="E6" t="s">
        <v>352</v>
      </c>
      <c r="F6">
        <v>3</v>
      </c>
      <c r="G6">
        <f ca="1">RANDBETWEEN(0,5)</f>
        <v>1</v>
      </c>
      <c r="H6" t="str">
        <f t="shared" ca="1" si="0"/>
        <v>available</v>
      </c>
      <c r="I6" t="str">
        <f t="shared" ca="1" si="1"/>
        <v>(6,'pasta','can','western','pasta is a very nice food and beverage category that is categorized under western cuisine',3,1,'available'),</v>
      </c>
    </row>
    <row r="7" spans="1:10" x14ac:dyDescent="0.25">
      <c r="A7">
        <v>6</v>
      </c>
      <c r="B7" t="s">
        <v>222</v>
      </c>
      <c r="C7" t="s">
        <v>201</v>
      </c>
      <c r="D7" t="s">
        <v>112</v>
      </c>
      <c r="E7" t="s">
        <v>338</v>
      </c>
      <c r="F7">
        <v>5</v>
      </c>
      <c r="G7">
        <f ca="1">RANDBETWEEN(0,5)</f>
        <v>4</v>
      </c>
      <c r="H7" t="str">
        <f t="shared" ca="1" si="0"/>
        <v>available</v>
      </c>
      <c r="I7" t="str">
        <f t="shared" ca="1" si="1"/>
        <v>(6,'spaghetti squash','package','western','spaghetti squash is a very nice food and beverage category that is categorized under western cuisine',5,4,'available'),</v>
      </c>
    </row>
    <row r="8" spans="1:10" x14ac:dyDescent="0.25">
      <c r="A8">
        <v>7</v>
      </c>
      <c r="B8" t="s">
        <v>217</v>
      </c>
      <c r="C8" t="s">
        <v>203</v>
      </c>
      <c r="D8" t="s">
        <v>113</v>
      </c>
      <c r="E8" t="s">
        <v>296</v>
      </c>
      <c r="F8">
        <v>5.4</v>
      </c>
      <c r="G8">
        <f ca="1">RANDBETWEEN(0,5)</f>
        <v>3</v>
      </c>
      <c r="H8" t="str">
        <f t="shared" ca="1" si="0"/>
        <v>available</v>
      </c>
      <c r="I8" t="str">
        <f t="shared" ca="1" si="1"/>
        <v>(7,'borscht','bottle','asian','borscht is a very nice food and beverage category that is categorized under asian cuisine',5.4,3,'available'),</v>
      </c>
    </row>
    <row r="9" spans="1:10" x14ac:dyDescent="0.25">
      <c r="A9">
        <v>7</v>
      </c>
      <c r="B9" t="s">
        <v>261</v>
      </c>
      <c r="C9" t="s">
        <v>203</v>
      </c>
      <c r="D9" t="s">
        <v>113</v>
      </c>
      <c r="E9" t="s">
        <v>326</v>
      </c>
      <c r="F9">
        <v>5.9</v>
      </c>
      <c r="G9">
        <f ca="1">RANDBETWEEN(0,5)</f>
        <v>2</v>
      </c>
      <c r="H9" t="str">
        <f t="shared" ca="1" si="0"/>
        <v>available</v>
      </c>
      <c r="I9" t="str">
        <f t="shared" ca="1" si="1"/>
        <v>(7,'coconut oil','bottle','asian','coconut oil is a very nice food and beverage category that is categorized under asian cuisine',5.9,2,'available'),</v>
      </c>
    </row>
    <row r="10" spans="1:10" x14ac:dyDescent="0.25">
      <c r="A10">
        <v>7</v>
      </c>
      <c r="B10" t="s">
        <v>266</v>
      </c>
      <c r="C10" t="s">
        <v>200</v>
      </c>
      <c r="D10" t="s">
        <v>113</v>
      </c>
      <c r="E10" t="s">
        <v>310</v>
      </c>
      <c r="F10">
        <v>2.1</v>
      </c>
      <c r="G10">
        <f ca="1">RANDBETWEEN(0,5)</f>
        <v>0</v>
      </c>
      <c r="H10" t="str">
        <f t="shared" ca="1" si="0"/>
        <v>available</v>
      </c>
      <c r="I10" t="str">
        <f t="shared" ca="1" si="1"/>
        <v>(7,'cornmeal','can','asian','cornmeal is a very nice food and beverage category that is categorized under asian cuisine',2.1,0,'available'),</v>
      </c>
    </row>
    <row r="11" spans="1:10" x14ac:dyDescent="0.25">
      <c r="A11">
        <v>7</v>
      </c>
      <c r="B11" t="s">
        <v>278</v>
      </c>
      <c r="C11" t="s">
        <v>202</v>
      </c>
      <c r="D11" t="s">
        <v>113</v>
      </c>
      <c r="E11" t="s">
        <v>306</v>
      </c>
      <c r="F11">
        <v>5.2</v>
      </c>
      <c r="G11">
        <f ca="1">RANDBETWEEN(0,5)</f>
        <v>1</v>
      </c>
      <c r="H11" t="str">
        <f t="shared" ca="1" si="0"/>
        <v>available</v>
      </c>
      <c r="I11" t="str">
        <f t="shared" ca="1" si="1"/>
        <v>(7,'grouper','piece','asian','grouper is a very nice food and beverage category that is categorized under asian cuisine',5.2,1,'available'),</v>
      </c>
    </row>
    <row r="12" spans="1:10" x14ac:dyDescent="0.25">
      <c r="A12">
        <v>7</v>
      </c>
      <c r="B12" t="s">
        <v>210</v>
      </c>
      <c r="C12" t="s">
        <v>201</v>
      </c>
      <c r="D12" t="s">
        <v>113</v>
      </c>
      <c r="E12" t="s">
        <v>363</v>
      </c>
      <c r="F12">
        <v>4.5999999999999996</v>
      </c>
      <c r="G12">
        <f ca="1">RANDBETWEEN(0,5)</f>
        <v>5</v>
      </c>
      <c r="H12" t="str">
        <f t="shared" ca="1" si="0"/>
        <v>available</v>
      </c>
      <c r="I12" t="str">
        <f t="shared" ca="1" si="1"/>
        <v>(7,'leeks','package','asian','leeks is a very nice food and beverage category that is categorized under asian cuisine',4.6,5,'available'),</v>
      </c>
    </row>
    <row r="13" spans="1:10" x14ac:dyDescent="0.25">
      <c r="A13">
        <v>7</v>
      </c>
      <c r="B13" t="s">
        <v>252</v>
      </c>
      <c r="C13" t="s">
        <v>200</v>
      </c>
      <c r="D13" t="s">
        <v>113</v>
      </c>
      <c r="E13" t="s">
        <v>334</v>
      </c>
      <c r="F13">
        <v>4.4000000000000004</v>
      </c>
      <c r="G13">
        <f ca="1">RANDBETWEEN(0,5)</f>
        <v>3</v>
      </c>
      <c r="H13" t="str">
        <f t="shared" ca="1" si="0"/>
        <v>available</v>
      </c>
      <c r="I13" t="str">
        <f t="shared" ca="1" si="1"/>
        <v>(7,'mushrooms','can','asian','mushrooms is a very nice food and beverage category that is categorized under asian cuisine',4.4,3,'available'),</v>
      </c>
    </row>
    <row r="14" spans="1:10" x14ac:dyDescent="0.25">
      <c r="A14">
        <v>7</v>
      </c>
      <c r="B14" t="s">
        <v>270</v>
      </c>
      <c r="C14" t="s">
        <v>202</v>
      </c>
      <c r="D14" t="s">
        <v>113</v>
      </c>
      <c r="E14" t="s">
        <v>313</v>
      </c>
      <c r="F14">
        <v>5.8</v>
      </c>
      <c r="G14">
        <f ca="1">RANDBETWEEN(0,5)</f>
        <v>2</v>
      </c>
      <c r="H14" t="str">
        <f t="shared" ca="1" si="0"/>
        <v>available</v>
      </c>
      <c r="I14" t="str">
        <f t="shared" ca="1" si="1"/>
        <v>(7,'salmon','piece','asian','salmon is a very nice food and beverage category that is categorized under asian cuisine',5.8,2,'available'),</v>
      </c>
    </row>
    <row r="15" spans="1:10" x14ac:dyDescent="0.25">
      <c r="A15">
        <v>8</v>
      </c>
      <c r="B15" t="s">
        <v>248</v>
      </c>
      <c r="C15" t="s">
        <v>200</v>
      </c>
      <c r="D15" t="s">
        <v>114</v>
      </c>
      <c r="E15" t="s">
        <v>297</v>
      </c>
      <c r="F15">
        <v>1.5</v>
      </c>
      <c r="G15">
        <f ca="1">RANDBETWEEN(0,5)</f>
        <v>2</v>
      </c>
      <c r="H15" t="str">
        <f t="shared" ca="1" si="0"/>
        <v>available</v>
      </c>
      <c r="I15" t="str">
        <f t="shared" ca="1" si="1"/>
        <v>(8,'coriander','can','fusion','coriander is a very nice food and beverage category that is categorized under fusion cuisine',1.5,2,'available'),</v>
      </c>
    </row>
    <row r="16" spans="1:10" x14ac:dyDescent="0.25">
      <c r="A16">
        <v>8</v>
      </c>
      <c r="B16" t="s">
        <v>225</v>
      </c>
      <c r="C16" t="s">
        <v>200</v>
      </c>
      <c r="D16" t="s">
        <v>114</v>
      </c>
      <c r="E16" t="s">
        <v>362</v>
      </c>
      <c r="F16">
        <v>5.8</v>
      </c>
      <c r="G16">
        <f ca="1">RANDBETWEEN(0,5)</f>
        <v>2</v>
      </c>
      <c r="H16" t="str">
        <f t="shared" ca="1" si="0"/>
        <v>available</v>
      </c>
      <c r="I16" t="str">
        <f t="shared" ca="1" si="1"/>
        <v>(8,'eggplants','can','fusion','eggplants is a very nice food and beverage category that is categorized under fusion cuisine',5.8,2,'available'),</v>
      </c>
    </row>
    <row r="17" spans="1:9" x14ac:dyDescent="0.25">
      <c r="A17">
        <v>8</v>
      </c>
      <c r="B17" t="s">
        <v>249</v>
      </c>
      <c r="C17" t="s">
        <v>200</v>
      </c>
      <c r="D17" t="s">
        <v>114</v>
      </c>
      <c r="E17" t="s">
        <v>361</v>
      </c>
      <c r="F17">
        <v>1</v>
      </c>
      <c r="G17">
        <f ca="1">RANDBETWEEN(0,5)</f>
        <v>5</v>
      </c>
      <c r="H17" t="str">
        <f t="shared" ca="1" si="0"/>
        <v>available</v>
      </c>
      <c r="I17" t="str">
        <f t="shared" ca="1" si="1"/>
        <v>(8,'hot sauce','can','fusion','hot sauce is a very nice food and beverage category that is categorized under fusion cuisine',1,5,'available'),</v>
      </c>
    </row>
    <row r="18" spans="1:9" x14ac:dyDescent="0.25">
      <c r="A18">
        <v>8</v>
      </c>
      <c r="B18" t="s">
        <v>226</v>
      </c>
      <c r="C18" t="s">
        <v>202</v>
      </c>
      <c r="D18" t="s">
        <v>114</v>
      </c>
      <c r="E18" t="s">
        <v>305</v>
      </c>
      <c r="F18">
        <v>8.3000000000000007</v>
      </c>
      <c r="G18">
        <f ca="1">RANDBETWEEN(0,5)</f>
        <v>5</v>
      </c>
      <c r="H18" t="str">
        <f t="shared" ca="1" si="0"/>
        <v>available</v>
      </c>
      <c r="I18" t="str">
        <f t="shared" ca="1" si="1"/>
        <v>(8,'mackerel','piece','fusion','mackerel is a very nice food and beverage category that is categorized under fusion cuisine',8.3,5,'available'),</v>
      </c>
    </row>
    <row r="19" spans="1:9" x14ac:dyDescent="0.25">
      <c r="A19">
        <v>8</v>
      </c>
      <c r="B19" t="s">
        <v>247</v>
      </c>
      <c r="C19" t="s">
        <v>200</v>
      </c>
      <c r="D19" t="s">
        <v>114</v>
      </c>
      <c r="E19" t="s">
        <v>332</v>
      </c>
      <c r="F19">
        <v>2.2000000000000002</v>
      </c>
      <c r="G19">
        <f ca="1">RANDBETWEEN(0,5)</f>
        <v>2</v>
      </c>
      <c r="H19" t="str">
        <f t="shared" ca="1" si="0"/>
        <v>available</v>
      </c>
      <c r="I19" t="str">
        <f t="shared" ca="1" si="1"/>
        <v>(8,'peaches','can','fusion','peaches is a very nice food and beverage category that is categorized under fusion cuisine',2.2,2,'available'),</v>
      </c>
    </row>
    <row r="20" spans="1:9" x14ac:dyDescent="0.25">
      <c r="A20">
        <v>8</v>
      </c>
      <c r="B20" t="s">
        <v>254</v>
      </c>
      <c r="C20" t="s">
        <v>201</v>
      </c>
      <c r="D20" t="s">
        <v>114</v>
      </c>
      <c r="E20" t="s">
        <v>316</v>
      </c>
      <c r="F20">
        <v>1.2</v>
      </c>
      <c r="G20">
        <f ca="1">RANDBETWEEN(0,5)</f>
        <v>5</v>
      </c>
      <c r="H20" t="str">
        <f t="shared" ca="1" si="0"/>
        <v>available</v>
      </c>
      <c r="I20" t="str">
        <f t="shared" ca="1" si="1"/>
        <v>(8,'provolone','package','fusion','provolone is a very nice food and beverage category that is categorized under fusion cuisine',1.2,5,'available'),</v>
      </c>
    </row>
    <row r="21" spans="1:9" x14ac:dyDescent="0.25">
      <c r="A21">
        <v>8</v>
      </c>
      <c r="B21" t="s">
        <v>250</v>
      </c>
      <c r="C21" t="s">
        <v>201</v>
      </c>
      <c r="D21" t="s">
        <v>114</v>
      </c>
      <c r="E21" t="s">
        <v>354</v>
      </c>
      <c r="F21">
        <v>3.4</v>
      </c>
      <c r="G21">
        <f ca="1">RANDBETWEEN(0,5)</f>
        <v>4</v>
      </c>
      <c r="H21" t="str">
        <f t="shared" ca="1" si="0"/>
        <v>available</v>
      </c>
      <c r="I21" t="str">
        <f t="shared" ca="1" si="1"/>
        <v>(8,'pumpkin seeds','package','fusion','pumpkin seeds is a very nice food and beverage category that is categorized under fusion cuisine',3.4,4,'available'),</v>
      </c>
    </row>
    <row r="22" spans="1:9" x14ac:dyDescent="0.25">
      <c r="A22">
        <v>8</v>
      </c>
      <c r="B22" t="s">
        <v>270</v>
      </c>
      <c r="C22" t="s">
        <v>202</v>
      </c>
      <c r="D22" t="s">
        <v>113</v>
      </c>
      <c r="E22" t="s">
        <v>313</v>
      </c>
      <c r="F22">
        <v>5.8</v>
      </c>
      <c r="G22">
        <f ca="1">RANDBETWEEN(0,5)</f>
        <v>4</v>
      </c>
      <c r="H22" t="str">
        <f t="shared" ca="1" si="0"/>
        <v>available</v>
      </c>
      <c r="I22" t="str">
        <f t="shared" ca="1" si="1"/>
        <v>(8,'salmon','piece','asian','salmon is a very nice food and beverage category that is categorized under asian cuisine',5.8,4,'available'),</v>
      </c>
    </row>
    <row r="23" spans="1:9" x14ac:dyDescent="0.25">
      <c r="A23">
        <v>9</v>
      </c>
      <c r="B23" t="s">
        <v>227</v>
      </c>
      <c r="C23" t="s">
        <v>201</v>
      </c>
      <c r="D23" t="s">
        <v>114</v>
      </c>
      <c r="E23" t="s">
        <v>325</v>
      </c>
      <c r="F23">
        <v>2.5</v>
      </c>
      <c r="G23">
        <f ca="1">RANDBETWEEN(0,5)</f>
        <v>0</v>
      </c>
      <c r="H23" t="str">
        <f t="shared" ca="1" si="0"/>
        <v>unavailable</v>
      </c>
      <c r="I23" t="str">
        <f t="shared" ca="1" si="1"/>
        <v>(9,'apples','package','fusion','apples is a very nice food and beverage category that is categorized under fusion cuisine',2.5,0,'unavailable'),</v>
      </c>
    </row>
    <row r="24" spans="1:9" x14ac:dyDescent="0.25">
      <c r="A24">
        <v>9</v>
      </c>
      <c r="B24" t="s">
        <v>258</v>
      </c>
      <c r="C24" t="s">
        <v>201</v>
      </c>
      <c r="D24" t="s">
        <v>114</v>
      </c>
      <c r="E24" t="s">
        <v>298</v>
      </c>
      <c r="F24">
        <v>2.2000000000000002</v>
      </c>
      <c r="G24">
        <f ca="1">RANDBETWEEN(0,5)</f>
        <v>2</v>
      </c>
      <c r="H24" t="str">
        <f t="shared" ca="1" si="0"/>
        <v>available</v>
      </c>
      <c r="I24" t="str">
        <f t="shared" ca="1" si="1"/>
        <v>(9,'colby cheese','package','fusion','colby cheese is a very nice food and beverage category that is categorized under fusion cuisine',2.2,2,'available'),</v>
      </c>
    </row>
    <row r="25" spans="1:9" x14ac:dyDescent="0.25">
      <c r="A25">
        <v>9</v>
      </c>
      <c r="B25" t="s">
        <v>226</v>
      </c>
      <c r="C25" t="s">
        <v>202</v>
      </c>
      <c r="D25" t="s">
        <v>114</v>
      </c>
      <c r="E25" t="s">
        <v>305</v>
      </c>
      <c r="F25">
        <v>8.3000000000000007</v>
      </c>
      <c r="G25">
        <f ca="1">RANDBETWEEN(0,5)</f>
        <v>5</v>
      </c>
      <c r="H25" t="str">
        <f t="shared" ca="1" si="0"/>
        <v>available</v>
      </c>
      <c r="I25" t="str">
        <f t="shared" ca="1" si="1"/>
        <v>(9,'mackerel','piece','fusion','mackerel is a very nice food and beverage category that is categorized under fusion cuisine',8.3,5,'available'),</v>
      </c>
    </row>
    <row r="26" spans="1:9" x14ac:dyDescent="0.25">
      <c r="A26">
        <v>9</v>
      </c>
      <c r="B26" t="s">
        <v>247</v>
      </c>
      <c r="C26" t="s">
        <v>200</v>
      </c>
      <c r="D26" t="s">
        <v>114</v>
      </c>
      <c r="E26" t="s">
        <v>332</v>
      </c>
      <c r="F26">
        <v>2.2000000000000002</v>
      </c>
      <c r="G26">
        <f ca="1">RANDBETWEEN(0,5)</f>
        <v>4</v>
      </c>
      <c r="H26" t="str">
        <f t="shared" ca="1" si="0"/>
        <v>available</v>
      </c>
      <c r="I26" t="str">
        <f t="shared" ca="1" si="1"/>
        <v>(9,'peaches','can','fusion','peaches is a very nice food and beverage category that is categorized under fusion cuisine',2.2,4,'available'),</v>
      </c>
    </row>
    <row r="27" spans="1:9" x14ac:dyDescent="0.25">
      <c r="A27">
        <v>9</v>
      </c>
      <c r="B27" t="s">
        <v>250</v>
      </c>
      <c r="C27" t="s">
        <v>201</v>
      </c>
      <c r="D27" t="s">
        <v>114</v>
      </c>
      <c r="E27" t="s">
        <v>354</v>
      </c>
      <c r="F27">
        <v>3.4</v>
      </c>
      <c r="G27">
        <f ca="1">RANDBETWEEN(0,5)</f>
        <v>5</v>
      </c>
      <c r="H27" t="str">
        <f t="shared" ca="1" si="0"/>
        <v>available</v>
      </c>
      <c r="I27" t="str">
        <f t="shared" ca="1" si="1"/>
        <v>(9,'pumpkin seeds','package','fusion','pumpkin seeds is a very nice food and beverage category that is categorized under fusion cuisine',3.4,5,'available'),</v>
      </c>
    </row>
    <row r="28" spans="1:9" x14ac:dyDescent="0.25">
      <c r="A28">
        <v>9</v>
      </c>
      <c r="B28" t="s">
        <v>228</v>
      </c>
      <c r="C28" t="s">
        <v>201</v>
      </c>
      <c r="D28" t="s">
        <v>114</v>
      </c>
      <c r="E28" t="s">
        <v>319</v>
      </c>
      <c r="F28">
        <v>2</v>
      </c>
      <c r="G28">
        <f ca="1">RANDBETWEEN(0,5)</f>
        <v>5</v>
      </c>
      <c r="H28" t="str">
        <f t="shared" ca="1" si="0"/>
        <v>available</v>
      </c>
      <c r="I28" t="str">
        <f t="shared" ca="1" si="1"/>
        <v>(9,'red pepper flakes','package','fusion','red pepper flakes is a very nice food and beverage category that is categorized under fusion cuisine',2,5,'available'),</v>
      </c>
    </row>
    <row r="29" spans="1:9" x14ac:dyDescent="0.25">
      <c r="A29">
        <v>10</v>
      </c>
      <c r="B29" t="s">
        <v>268</v>
      </c>
      <c r="C29" t="s">
        <v>200</v>
      </c>
      <c r="D29" t="s">
        <v>115</v>
      </c>
      <c r="E29" t="s">
        <v>355</v>
      </c>
      <c r="F29">
        <v>3.2</v>
      </c>
      <c r="G29">
        <f ca="1">RANDBETWEEN(0,5)</f>
        <v>4</v>
      </c>
      <c r="H29" t="str">
        <f t="shared" ca="1" si="0"/>
        <v>available</v>
      </c>
      <c r="I29" t="str">
        <f t="shared" ca="1" si="1"/>
        <v>(10,'beets','can','vegetable','beets is a very nice food and beverage category that is categorized under vegetable cuisine',3.2,4,'available'),</v>
      </c>
    </row>
    <row r="30" spans="1:9" x14ac:dyDescent="0.25">
      <c r="A30">
        <v>10</v>
      </c>
      <c r="B30" t="s">
        <v>280</v>
      </c>
      <c r="C30" t="s">
        <v>200</v>
      </c>
      <c r="D30" t="s">
        <v>115</v>
      </c>
      <c r="E30" t="s">
        <v>299</v>
      </c>
      <c r="F30">
        <v>3.9</v>
      </c>
      <c r="G30">
        <f ca="1">RANDBETWEEN(0,5)</f>
        <v>3</v>
      </c>
      <c r="H30" t="str">
        <f t="shared" ca="1" si="0"/>
        <v>available</v>
      </c>
      <c r="I30" t="str">
        <f t="shared" ca="1" si="1"/>
        <v>(10,'cornstarch','can','vegetable','cornstarch is a very nice food and beverage category that is categorized under vegetable cuisine',3.9,3,'available'),</v>
      </c>
    </row>
    <row r="31" spans="1:9" x14ac:dyDescent="0.25">
      <c r="A31">
        <v>10</v>
      </c>
      <c r="B31" t="s">
        <v>285</v>
      </c>
      <c r="C31" t="s">
        <v>200</v>
      </c>
      <c r="D31" t="s">
        <v>115</v>
      </c>
      <c r="E31" t="s">
        <v>364</v>
      </c>
      <c r="F31">
        <v>1.8</v>
      </c>
      <c r="G31">
        <f ca="1">RANDBETWEEN(0,5)</f>
        <v>5</v>
      </c>
      <c r="H31" t="str">
        <f t="shared" ca="1" si="0"/>
        <v>available</v>
      </c>
      <c r="I31" t="str">
        <f t="shared" ca="1" si="1"/>
        <v>(10,'granola','can','vegetable','granola is a very nice food and beverage category that is categorized under vegetable cuisine',1.8,5,'available'),</v>
      </c>
    </row>
    <row r="32" spans="1:9" x14ac:dyDescent="0.25">
      <c r="A32">
        <v>10</v>
      </c>
      <c r="B32" t="s">
        <v>287</v>
      </c>
      <c r="C32" t="s">
        <v>200</v>
      </c>
      <c r="D32" t="s">
        <v>115</v>
      </c>
      <c r="E32" t="s">
        <v>327</v>
      </c>
      <c r="F32">
        <v>2</v>
      </c>
      <c r="G32">
        <f ca="1">RANDBETWEEN(0,5)</f>
        <v>2</v>
      </c>
      <c r="H32" t="str">
        <f t="shared" ca="1" si="0"/>
        <v>available</v>
      </c>
      <c r="I32" t="str">
        <f t="shared" ca="1" si="1"/>
        <v>(10,'nectarines','can','vegetable','nectarines is a very nice food and beverage category that is categorized under vegetable cuisine',2,2,'available'),</v>
      </c>
    </row>
    <row r="33" spans="1:9" x14ac:dyDescent="0.25">
      <c r="A33">
        <v>10</v>
      </c>
      <c r="B33" t="s">
        <v>272</v>
      </c>
      <c r="C33" t="s">
        <v>200</v>
      </c>
      <c r="D33" t="s">
        <v>115</v>
      </c>
      <c r="E33" t="s">
        <v>374</v>
      </c>
      <c r="F33">
        <v>3.4</v>
      </c>
      <c r="G33">
        <f ca="1">RANDBETWEEN(0,5)</f>
        <v>3</v>
      </c>
      <c r="H33" t="str">
        <f t="shared" ca="1" si="0"/>
        <v>available</v>
      </c>
      <c r="I33" t="str">
        <f t="shared" ca="1" si="1"/>
        <v>(10,'pea beans','can','vegetable','pea beans is a very nice food and beverage category that is categorized under vegetable cuisine',3.4,3,'available'),</v>
      </c>
    </row>
    <row r="34" spans="1:9" x14ac:dyDescent="0.25">
      <c r="A34">
        <v>10</v>
      </c>
      <c r="B34" t="s">
        <v>255</v>
      </c>
      <c r="C34" t="s">
        <v>200</v>
      </c>
      <c r="D34" t="s">
        <v>115</v>
      </c>
      <c r="E34" t="s">
        <v>372</v>
      </c>
      <c r="F34">
        <v>4.0999999999999996</v>
      </c>
      <c r="G34">
        <f ca="1">RANDBETWEEN(0,5)</f>
        <v>4</v>
      </c>
      <c r="H34" t="str">
        <f t="shared" ca="1" si="0"/>
        <v>available</v>
      </c>
      <c r="I34" t="str">
        <f t="shared" ca="1" si="1"/>
        <v>(10,'pinto beans','can','vegetable','pinto beans is a very nice food and beverage category that is categorized under vegetable cuisine',4.1,4,'available'),</v>
      </c>
    </row>
    <row r="35" spans="1:9" x14ac:dyDescent="0.25">
      <c r="A35">
        <v>10</v>
      </c>
      <c r="B35" t="s">
        <v>230</v>
      </c>
      <c r="C35" t="s">
        <v>201</v>
      </c>
      <c r="D35" t="s">
        <v>114</v>
      </c>
      <c r="E35" t="s">
        <v>308</v>
      </c>
      <c r="F35">
        <v>4</v>
      </c>
      <c r="G35">
        <f ca="1">RANDBETWEEN(0,5)</f>
        <v>1</v>
      </c>
      <c r="H35" t="str">
        <f t="shared" ca="1" si="0"/>
        <v>available</v>
      </c>
      <c r="I35" t="str">
        <f t="shared" ca="1" si="1"/>
        <v>(10,'spearmint','package','fusion','spearmint is a very nice food and beverage category that is categorized under fusion cuisine',4,1,'available'),</v>
      </c>
    </row>
    <row r="36" spans="1:9" x14ac:dyDescent="0.25">
      <c r="A36">
        <v>11</v>
      </c>
      <c r="B36" t="s">
        <v>292</v>
      </c>
      <c r="C36" t="s">
        <v>200</v>
      </c>
      <c r="D36" t="s">
        <v>116</v>
      </c>
      <c r="E36" t="s">
        <v>304</v>
      </c>
      <c r="F36">
        <v>2</v>
      </c>
      <c r="G36">
        <f ca="1">RANDBETWEEN(0,5)</f>
        <v>1</v>
      </c>
      <c r="H36" t="str">
        <f t="shared" ca="1" si="0"/>
        <v>available</v>
      </c>
      <c r="I36" t="str">
        <f t="shared" ca="1" si="1"/>
        <v>(11,'bay leaves','can','beverage','bay leaves is a very nice food and beverage category that is categorized under beverage cuisine',2,1,'available'),</v>
      </c>
    </row>
    <row r="37" spans="1:9" x14ac:dyDescent="0.25">
      <c r="A37">
        <v>11</v>
      </c>
      <c r="B37" t="s">
        <v>242</v>
      </c>
      <c r="C37" t="s">
        <v>200</v>
      </c>
      <c r="D37" t="s">
        <v>116</v>
      </c>
      <c r="E37" t="s">
        <v>345</v>
      </c>
      <c r="F37">
        <v>2.5</v>
      </c>
      <c r="G37">
        <f ca="1">RANDBETWEEN(0,5)</f>
        <v>1</v>
      </c>
      <c r="H37" t="str">
        <f t="shared" ca="1" si="0"/>
        <v>available</v>
      </c>
      <c r="I37" t="str">
        <f t="shared" ca="1" si="1"/>
        <v>(11,'black-eyed peas','can','beverage','black-eyed peas is a very nice food and beverage category that is categorized under beverage cuisine',2.5,1,'available'),</v>
      </c>
    </row>
    <row r="38" spans="1:9" x14ac:dyDescent="0.25">
      <c r="A38">
        <v>11</v>
      </c>
      <c r="B38" t="s">
        <v>290</v>
      </c>
      <c r="C38" t="s">
        <v>201</v>
      </c>
      <c r="D38" t="s">
        <v>116</v>
      </c>
      <c r="E38" t="s">
        <v>341</v>
      </c>
      <c r="F38">
        <v>1.5</v>
      </c>
      <c r="G38">
        <f ca="1">RANDBETWEEN(0,5)</f>
        <v>1</v>
      </c>
      <c r="H38" t="str">
        <f t="shared" ca="1" si="0"/>
        <v>available</v>
      </c>
      <c r="I38" t="str">
        <f t="shared" ca="1" si="1"/>
        <v>(11,'broccoli','package','beverage','broccoli is a very nice food and beverage category that is categorized under beverage cuisine',1.5,1,'available'),</v>
      </c>
    </row>
    <row r="39" spans="1:9" x14ac:dyDescent="0.25">
      <c r="A39">
        <v>11</v>
      </c>
      <c r="B39" t="s">
        <v>209</v>
      </c>
      <c r="C39" t="s">
        <v>200</v>
      </c>
      <c r="D39" t="s">
        <v>116</v>
      </c>
      <c r="E39" t="s">
        <v>300</v>
      </c>
      <c r="F39">
        <v>3.9</v>
      </c>
      <c r="G39">
        <f ca="1">RANDBETWEEN(0,5)</f>
        <v>3</v>
      </c>
      <c r="H39" t="str">
        <f t="shared" ca="1" si="0"/>
        <v>available</v>
      </c>
      <c r="I39" t="str">
        <f t="shared" ca="1" si="1"/>
        <v>(11,'chard','can','beverage','chard is a very nice food and beverage category that is categorized under beverage cuisine',3.9,3,'available'),</v>
      </c>
    </row>
    <row r="40" spans="1:9" x14ac:dyDescent="0.25">
      <c r="A40">
        <v>11</v>
      </c>
      <c r="B40" t="s">
        <v>286</v>
      </c>
      <c r="C40" t="s">
        <v>200</v>
      </c>
      <c r="D40" t="s">
        <v>116</v>
      </c>
      <c r="E40" t="s">
        <v>318</v>
      </c>
      <c r="F40">
        <v>2.9</v>
      </c>
      <c r="G40">
        <f ca="1">RANDBETWEEN(0,5)</f>
        <v>2</v>
      </c>
      <c r="H40" t="str">
        <f t="shared" ca="1" si="0"/>
        <v>available</v>
      </c>
      <c r="I40" t="str">
        <f t="shared" ca="1" si="1"/>
        <v>(11,'chestnuts','can','beverage','chestnuts is a very nice food and beverage category that is categorized under beverage cuisine',2.9,2,'available'),</v>
      </c>
    </row>
    <row r="41" spans="1:9" x14ac:dyDescent="0.25">
      <c r="A41">
        <v>11</v>
      </c>
      <c r="B41" t="s">
        <v>288</v>
      </c>
      <c r="C41" t="s">
        <v>200</v>
      </c>
      <c r="D41" t="s">
        <v>116</v>
      </c>
      <c r="E41" t="s">
        <v>369</v>
      </c>
      <c r="F41">
        <v>4</v>
      </c>
      <c r="G41">
        <f ca="1">RANDBETWEEN(0,5)</f>
        <v>3</v>
      </c>
      <c r="H41" t="str">
        <f t="shared" ca="1" si="0"/>
        <v>available</v>
      </c>
      <c r="I41" t="str">
        <f t="shared" ca="1" si="1"/>
        <v>(11,'fennel','can','beverage','fennel is a very nice food and beverage category that is categorized under beverage cuisine',4,3,'available'),</v>
      </c>
    </row>
    <row r="42" spans="1:9" x14ac:dyDescent="0.25">
      <c r="A42">
        <v>11</v>
      </c>
      <c r="B42" t="s">
        <v>279</v>
      </c>
      <c r="C42" t="s">
        <v>201</v>
      </c>
      <c r="D42" t="s">
        <v>116</v>
      </c>
      <c r="E42" t="s">
        <v>317</v>
      </c>
      <c r="F42">
        <v>1.4</v>
      </c>
      <c r="G42">
        <f ca="1">RANDBETWEEN(0,5)</f>
        <v>3</v>
      </c>
      <c r="H42" t="str">
        <f t="shared" ca="1" si="0"/>
        <v>available</v>
      </c>
      <c r="I42" t="str">
        <f t="shared" ca="1" si="1"/>
        <v>(11,'jicama','package','beverage','jicama is a very nice food and beverage category that is categorized under beverage cuisine',1.4,3,'available'),</v>
      </c>
    </row>
    <row r="43" spans="1:9" x14ac:dyDescent="0.25">
      <c r="A43">
        <v>11</v>
      </c>
      <c r="B43" t="s">
        <v>294</v>
      </c>
      <c r="C43" t="s">
        <v>201</v>
      </c>
      <c r="D43" t="s">
        <v>115</v>
      </c>
      <c r="E43" t="s">
        <v>348</v>
      </c>
      <c r="F43">
        <v>5.3</v>
      </c>
      <c r="G43">
        <f ca="1">RANDBETWEEN(0,5)</f>
        <v>1</v>
      </c>
      <c r="H43" t="str">
        <f t="shared" ca="1" si="0"/>
        <v>available</v>
      </c>
      <c r="I43" t="str">
        <f t="shared" ca="1" si="1"/>
        <v>(11,'sesame seeds','package','vegetable','sesame seeds is a very nice food and beverage category that is categorized under vegetable cuisine',5.3,1,'available'),</v>
      </c>
    </row>
    <row r="44" spans="1:9" x14ac:dyDescent="0.25">
      <c r="A44">
        <v>12</v>
      </c>
      <c r="B44" t="s">
        <v>282</v>
      </c>
      <c r="C44" t="s">
        <v>201</v>
      </c>
      <c r="D44" t="s">
        <v>116</v>
      </c>
      <c r="E44" t="s">
        <v>337</v>
      </c>
      <c r="F44">
        <v>1.1000000000000001</v>
      </c>
      <c r="G44">
        <f ca="1">RANDBETWEEN(0,5)</f>
        <v>0</v>
      </c>
      <c r="H44" t="str">
        <f t="shared" ca="1" si="0"/>
        <v>available</v>
      </c>
      <c r="I44" t="str">
        <f t="shared" ca="1" si="1"/>
        <v>(12,'amaretto','package','beverage','amaretto is a very nice food and beverage category that is categorized under beverage cuisine',1.1,0,'available'),</v>
      </c>
    </row>
    <row r="45" spans="1:9" x14ac:dyDescent="0.25">
      <c r="A45">
        <v>12</v>
      </c>
      <c r="B45" t="s">
        <v>283</v>
      </c>
      <c r="C45" t="s">
        <v>200</v>
      </c>
      <c r="D45" t="s">
        <v>116</v>
      </c>
      <c r="E45" t="s">
        <v>340</v>
      </c>
      <c r="F45">
        <v>3.9</v>
      </c>
      <c r="G45">
        <f ca="1">RANDBETWEEN(0,5)</f>
        <v>1</v>
      </c>
      <c r="H45" t="str">
        <f t="shared" ca="1" si="0"/>
        <v>available</v>
      </c>
      <c r="I45" t="str">
        <f t="shared" ca="1" si="1"/>
        <v>(12,'baking soda','can','beverage','baking soda is a very nice food and beverage category that is categorized under beverage cuisine',3.9,1,'available'),</v>
      </c>
    </row>
    <row r="46" spans="1:9" x14ac:dyDescent="0.25">
      <c r="A46">
        <v>12</v>
      </c>
      <c r="B46" t="s">
        <v>292</v>
      </c>
      <c r="C46" t="s">
        <v>200</v>
      </c>
      <c r="D46" t="s">
        <v>116</v>
      </c>
      <c r="E46" t="s">
        <v>304</v>
      </c>
      <c r="F46">
        <v>2</v>
      </c>
      <c r="G46">
        <f ca="1">RANDBETWEEN(0,5)</f>
        <v>1</v>
      </c>
      <c r="H46" t="str">
        <f t="shared" ca="1" si="0"/>
        <v>available</v>
      </c>
      <c r="I46" t="str">
        <f t="shared" ca="1" si="1"/>
        <v>(12,'bay leaves','can','beverage','bay leaves is a very nice food and beverage category that is categorized under beverage cuisine',2,1,'available'),</v>
      </c>
    </row>
    <row r="47" spans="1:9" x14ac:dyDescent="0.25">
      <c r="A47">
        <v>12</v>
      </c>
      <c r="B47" t="s">
        <v>256</v>
      </c>
      <c r="C47" t="s">
        <v>203</v>
      </c>
      <c r="D47" t="s">
        <v>116</v>
      </c>
      <c r="E47" t="s">
        <v>301</v>
      </c>
      <c r="F47">
        <v>10.7</v>
      </c>
      <c r="G47">
        <f ca="1">RANDBETWEEN(0,5)</f>
        <v>5</v>
      </c>
      <c r="H47" t="str">
        <f t="shared" ca="1" si="0"/>
        <v>available</v>
      </c>
      <c r="I47" t="str">
        <f t="shared" ca="1" si="1"/>
        <v>(12,'brandy','bottle','beverage','brandy is a very nice food and beverage category that is categorized under beverage cuisine',10.7,5,'available'),</v>
      </c>
    </row>
    <row r="48" spans="1:9" x14ac:dyDescent="0.25">
      <c r="A48">
        <v>12</v>
      </c>
      <c r="B48" t="s">
        <v>290</v>
      </c>
      <c r="C48" t="s">
        <v>201</v>
      </c>
      <c r="D48" t="s">
        <v>116</v>
      </c>
      <c r="E48" t="s">
        <v>341</v>
      </c>
      <c r="F48">
        <v>1.5</v>
      </c>
      <c r="G48">
        <f ca="1">RANDBETWEEN(0,5)</f>
        <v>5</v>
      </c>
      <c r="H48" t="str">
        <f t="shared" ca="1" si="0"/>
        <v>available</v>
      </c>
      <c r="I48" t="str">
        <f t="shared" ca="1" si="1"/>
        <v>(12,'broccoli','package','beverage','broccoli is a very nice food and beverage category that is categorized under beverage cuisine',1.5,5,'available'),</v>
      </c>
    </row>
    <row r="49" spans="1:9" x14ac:dyDescent="0.25">
      <c r="A49">
        <v>12</v>
      </c>
      <c r="B49" t="s">
        <v>269</v>
      </c>
      <c r="C49" t="s">
        <v>200</v>
      </c>
      <c r="D49" t="s">
        <v>116</v>
      </c>
      <c r="E49" t="s">
        <v>365</v>
      </c>
      <c r="F49">
        <v>3.1</v>
      </c>
      <c r="G49">
        <f ca="1">RANDBETWEEN(0,5)</f>
        <v>2</v>
      </c>
      <c r="H49" t="str">
        <f t="shared" ca="1" si="0"/>
        <v>available</v>
      </c>
      <c r="I49" t="str">
        <f t="shared" ca="1" si="1"/>
        <v>(12,'cayenne pepper','can','beverage','cayenne pepper is a very nice food and beverage category that is categorized under beverage cuisine',3.1,2,'available'),</v>
      </c>
    </row>
    <row r="50" spans="1:9" x14ac:dyDescent="0.25">
      <c r="A50">
        <v>12</v>
      </c>
      <c r="B50" t="s">
        <v>279</v>
      </c>
      <c r="C50" t="s">
        <v>201</v>
      </c>
      <c r="D50" t="s">
        <v>116</v>
      </c>
      <c r="E50" t="s">
        <v>317</v>
      </c>
      <c r="F50">
        <v>1.4</v>
      </c>
      <c r="G50">
        <f ca="1">RANDBETWEEN(0,5)</f>
        <v>2</v>
      </c>
      <c r="H50" t="str">
        <f t="shared" ca="1" si="0"/>
        <v>available</v>
      </c>
      <c r="I50" t="str">
        <f t="shared" ca="1" si="1"/>
        <v>(12,'jicama','package','beverage','jicama is a very nice food and beverage category that is categorized under beverage cuisine',1.4,2,'available'),</v>
      </c>
    </row>
    <row r="51" spans="1:9" x14ac:dyDescent="0.25">
      <c r="A51">
        <v>12</v>
      </c>
      <c r="B51" t="s">
        <v>246</v>
      </c>
      <c r="C51" t="s">
        <v>203</v>
      </c>
      <c r="D51" t="s">
        <v>116</v>
      </c>
      <c r="E51" t="s">
        <v>356</v>
      </c>
      <c r="F51">
        <v>8.9</v>
      </c>
      <c r="G51">
        <f ca="1">RANDBETWEEN(0,5)</f>
        <v>2</v>
      </c>
      <c r="H51" t="str">
        <f t="shared" ca="1" si="0"/>
        <v>available</v>
      </c>
      <c r="I51" t="str">
        <f t="shared" ca="1" si="1"/>
        <v>(12,'rose water','bottle','beverage','rose water is a very nice food and beverage category that is categorized under beverage cuisine',8.9,2,'available'),</v>
      </c>
    </row>
    <row r="52" spans="1:9" x14ac:dyDescent="0.25">
      <c r="A52">
        <v>13</v>
      </c>
      <c r="B52" t="s">
        <v>292</v>
      </c>
      <c r="C52" t="s">
        <v>200</v>
      </c>
      <c r="D52" t="s">
        <v>116</v>
      </c>
      <c r="E52" t="s">
        <v>304</v>
      </c>
      <c r="F52">
        <v>2</v>
      </c>
      <c r="G52">
        <f ca="1">RANDBETWEEN(0,5)</f>
        <v>1</v>
      </c>
      <c r="H52" t="str">
        <f t="shared" ca="1" si="0"/>
        <v>unavailable</v>
      </c>
      <c r="I52" t="str">
        <f t="shared" ca="1" si="1"/>
        <v>(13,'bay leaves','can','beverage','bay leaves is a very nice food and beverage category that is categorized under beverage cuisine',2,1,'unavailable'),</v>
      </c>
    </row>
    <row r="53" spans="1:9" x14ac:dyDescent="0.25">
      <c r="A53">
        <v>13</v>
      </c>
      <c r="B53" t="s">
        <v>242</v>
      </c>
      <c r="C53" t="s">
        <v>200</v>
      </c>
      <c r="D53" t="s">
        <v>116</v>
      </c>
      <c r="E53" t="s">
        <v>345</v>
      </c>
      <c r="F53">
        <v>2.5</v>
      </c>
      <c r="G53">
        <f ca="1">RANDBETWEEN(0,5)</f>
        <v>2</v>
      </c>
      <c r="H53" t="str">
        <f t="shared" ca="1" si="0"/>
        <v>available</v>
      </c>
      <c r="I53" t="str">
        <f t="shared" ca="1" si="1"/>
        <v>(13,'black-eyed peas','can','beverage','black-eyed peas is a very nice food and beverage category that is categorized under beverage cuisine',2.5,2,'available'),</v>
      </c>
    </row>
    <row r="54" spans="1:9" x14ac:dyDescent="0.25">
      <c r="A54">
        <v>13</v>
      </c>
      <c r="B54" t="s">
        <v>290</v>
      </c>
      <c r="C54" t="s">
        <v>201</v>
      </c>
      <c r="D54" t="s">
        <v>116</v>
      </c>
      <c r="E54" t="s">
        <v>341</v>
      </c>
      <c r="F54">
        <v>1.5</v>
      </c>
      <c r="G54">
        <f ca="1">RANDBETWEEN(0,5)</f>
        <v>4</v>
      </c>
      <c r="H54" t="str">
        <f t="shared" ca="1" si="0"/>
        <v>available</v>
      </c>
      <c r="I54" t="str">
        <f t="shared" ca="1" si="1"/>
        <v>(13,'broccoli','package','beverage','broccoli is a very nice food and beverage category that is categorized under beverage cuisine',1.5,4,'available'),</v>
      </c>
    </row>
    <row r="55" spans="1:9" x14ac:dyDescent="0.25">
      <c r="A55">
        <v>13</v>
      </c>
      <c r="B55" t="s">
        <v>279</v>
      </c>
      <c r="C55" t="s">
        <v>201</v>
      </c>
      <c r="D55" t="s">
        <v>116</v>
      </c>
      <c r="E55" t="s">
        <v>317</v>
      </c>
      <c r="F55">
        <v>1.4</v>
      </c>
      <c r="G55">
        <f ca="1">RANDBETWEEN(0,5)</f>
        <v>1</v>
      </c>
      <c r="H55" t="str">
        <f t="shared" ca="1" si="0"/>
        <v>available</v>
      </c>
      <c r="I55" t="str">
        <f t="shared" ca="1" si="1"/>
        <v>(13,'jicama','package','beverage','jicama is a very nice food and beverage category that is categorized under beverage cuisine',1.4,1,'available'),</v>
      </c>
    </row>
    <row r="56" spans="1:9" x14ac:dyDescent="0.25">
      <c r="A56">
        <v>13</v>
      </c>
      <c r="B56" t="s">
        <v>246</v>
      </c>
      <c r="C56" t="s">
        <v>203</v>
      </c>
      <c r="D56" t="s">
        <v>116</v>
      </c>
      <c r="E56" t="s">
        <v>356</v>
      </c>
      <c r="F56">
        <v>8.9</v>
      </c>
      <c r="G56">
        <f ca="1">RANDBETWEEN(0,5)</f>
        <v>4</v>
      </c>
      <c r="H56" t="str">
        <f t="shared" ca="1" si="0"/>
        <v>available</v>
      </c>
      <c r="I56" t="str">
        <f t="shared" ca="1" si="1"/>
        <v>(13,'rose water','bottle','beverage','rose water is a very nice food and beverage category that is categorized under beverage cuisine',8.9,4,'available'),</v>
      </c>
    </row>
    <row r="57" spans="1:9" x14ac:dyDescent="0.25">
      <c r="A57">
        <v>14</v>
      </c>
      <c r="B57" t="s">
        <v>213</v>
      </c>
      <c r="C57" t="s">
        <v>202</v>
      </c>
      <c r="D57" t="s">
        <v>113</v>
      </c>
      <c r="E57" t="s">
        <v>303</v>
      </c>
      <c r="F57">
        <v>6.9</v>
      </c>
      <c r="G57">
        <f ca="1">RANDBETWEEN(0,5)</f>
        <v>0</v>
      </c>
      <c r="H57" t="str">
        <f t="shared" ca="1" si="0"/>
        <v>available</v>
      </c>
      <c r="I57" t="str">
        <f t="shared" ca="1" si="1"/>
        <v>(14,'cantaloupes','piece','asian','cantaloupes is a very nice food and beverage category that is categorized under asian cuisine',6.9,0,'available'),</v>
      </c>
    </row>
    <row r="58" spans="1:9" x14ac:dyDescent="0.25">
      <c r="A58">
        <v>14</v>
      </c>
      <c r="B58" t="s">
        <v>261</v>
      </c>
      <c r="C58" t="s">
        <v>203</v>
      </c>
      <c r="D58" t="s">
        <v>113</v>
      </c>
      <c r="E58" t="s">
        <v>326</v>
      </c>
      <c r="F58">
        <v>5.9</v>
      </c>
      <c r="G58">
        <f ca="1">RANDBETWEEN(0,5)</f>
        <v>3</v>
      </c>
      <c r="H58" t="str">
        <f t="shared" ca="1" si="0"/>
        <v>available</v>
      </c>
      <c r="I58" t="str">
        <f t="shared" ca="1" si="1"/>
        <v>(14,'coconut oil','bottle','asian','coconut oil is a very nice food and beverage category that is categorized under asian cuisine',5.9,3,'available'),</v>
      </c>
    </row>
    <row r="59" spans="1:9" x14ac:dyDescent="0.25">
      <c r="A59">
        <v>14</v>
      </c>
      <c r="B59" t="s">
        <v>266</v>
      </c>
      <c r="C59" t="s">
        <v>200</v>
      </c>
      <c r="D59" t="s">
        <v>113</v>
      </c>
      <c r="E59" t="s">
        <v>310</v>
      </c>
      <c r="F59">
        <v>2.1</v>
      </c>
      <c r="G59">
        <f ca="1">RANDBETWEEN(0,5)</f>
        <v>0</v>
      </c>
      <c r="H59" t="str">
        <f t="shared" ca="1" si="0"/>
        <v>available</v>
      </c>
      <c r="I59" t="str">
        <f t="shared" ca="1" si="1"/>
        <v>(14,'cornmeal','can','asian','cornmeal is a very nice food and beverage category that is categorized under asian cuisine',2.1,0,'available'),</v>
      </c>
    </row>
    <row r="60" spans="1:9" x14ac:dyDescent="0.25">
      <c r="A60">
        <v>14</v>
      </c>
      <c r="B60" t="s">
        <v>216</v>
      </c>
      <c r="C60" t="s">
        <v>200</v>
      </c>
      <c r="D60" t="s">
        <v>113</v>
      </c>
      <c r="E60" t="s">
        <v>343</v>
      </c>
      <c r="F60">
        <v>2</v>
      </c>
      <c r="G60">
        <f ca="1">RANDBETWEEN(0,5)</f>
        <v>4</v>
      </c>
      <c r="H60" t="str">
        <f t="shared" ca="1" si="0"/>
        <v>available</v>
      </c>
      <c r="I60" t="str">
        <f t="shared" ca="1" si="1"/>
        <v>(14,'gelatin','can','asian','gelatin is a very nice food and beverage category that is categorized under asian cuisine',2,4,'available'),</v>
      </c>
    </row>
    <row r="61" spans="1:9" x14ac:dyDescent="0.25">
      <c r="A61">
        <v>14</v>
      </c>
      <c r="B61" t="s">
        <v>211</v>
      </c>
      <c r="C61" t="s">
        <v>201</v>
      </c>
      <c r="D61" t="s">
        <v>113</v>
      </c>
      <c r="E61" t="s">
        <v>358</v>
      </c>
      <c r="F61">
        <v>2.6</v>
      </c>
      <c r="G61">
        <f ca="1">RANDBETWEEN(0,5)</f>
        <v>2</v>
      </c>
      <c r="H61" t="str">
        <f t="shared" ca="1" si="0"/>
        <v>available</v>
      </c>
      <c r="I61" t="str">
        <f t="shared" ca="1" si="1"/>
        <v>(14,'lettuce','package','asian','lettuce is a very nice food and beverage category that is categorized under asian cuisine',2.6,2,'available'),</v>
      </c>
    </row>
    <row r="62" spans="1:9" x14ac:dyDescent="0.25">
      <c r="A62">
        <v>14</v>
      </c>
      <c r="B62" t="s">
        <v>215</v>
      </c>
      <c r="C62" t="s">
        <v>202</v>
      </c>
      <c r="D62" t="s">
        <v>113</v>
      </c>
      <c r="E62" t="s">
        <v>347</v>
      </c>
      <c r="F62">
        <v>4.5</v>
      </c>
      <c r="G62">
        <f ca="1">RANDBETWEEN(0,5)</f>
        <v>5</v>
      </c>
      <c r="H62" t="str">
        <f t="shared" ca="1" si="0"/>
        <v>available</v>
      </c>
      <c r="I62" t="str">
        <f t="shared" ca="1" si="1"/>
        <v>(14,'liver','piece','asian','liver is a very nice food and beverage category that is categorized under asian cuisine',4.5,5,'available'),</v>
      </c>
    </row>
    <row r="63" spans="1:9" x14ac:dyDescent="0.25">
      <c r="A63">
        <v>14</v>
      </c>
      <c r="B63" t="s">
        <v>259</v>
      </c>
      <c r="C63" t="s">
        <v>200</v>
      </c>
      <c r="D63" t="s">
        <v>116</v>
      </c>
      <c r="E63" t="s">
        <v>302</v>
      </c>
      <c r="F63">
        <v>5.0999999999999996</v>
      </c>
      <c r="G63">
        <f ca="1">RANDBETWEEN(0,5)</f>
        <v>2</v>
      </c>
      <c r="H63" t="str">
        <f t="shared" ca="1" si="0"/>
        <v>available</v>
      </c>
      <c r="I63" t="str">
        <f t="shared" ca="1" si="1"/>
        <v>(14,'Marsala','can','beverage','Marsala is a very nice food and beverage category that is categorized under beverage cuisine',5.1,2,'available'),</v>
      </c>
    </row>
    <row r="64" spans="1:9" x14ac:dyDescent="0.25">
      <c r="A64">
        <v>14</v>
      </c>
      <c r="B64" t="s">
        <v>252</v>
      </c>
      <c r="C64" t="s">
        <v>200</v>
      </c>
      <c r="D64" t="s">
        <v>113</v>
      </c>
      <c r="E64" t="s">
        <v>334</v>
      </c>
      <c r="F64">
        <v>4.4000000000000004</v>
      </c>
      <c r="G64">
        <f ca="1">RANDBETWEEN(0,5)</f>
        <v>5</v>
      </c>
      <c r="H64" t="str">
        <f t="shared" ca="1" si="0"/>
        <v>available</v>
      </c>
      <c r="I64" t="str">
        <f t="shared" ca="1" si="1"/>
        <v>(14,'mushrooms','can','asian','mushrooms is a very nice food and beverage category that is categorized under asian cuisine',4.4,5,'available'),</v>
      </c>
    </row>
    <row r="65" spans="1:9" x14ac:dyDescent="0.25">
      <c r="A65">
        <v>15</v>
      </c>
      <c r="B65" t="s">
        <v>283</v>
      </c>
      <c r="C65" t="s">
        <v>200</v>
      </c>
      <c r="D65" t="s">
        <v>116</v>
      </c>
      <c r="E65" t="s">
        <v>340</v>
      </c>
      <c r="F65">
        <v>3.9</v>
      </c>
      <c r="G65">
        <f ca="1">RANDBETWEEN(0,5)</f>
        <v>2</v>
      </c>
      <c r="H65" t="str">
        <f t="shared" ca="1" si="0"/>
        <v>available</v>
      </c>
      <c r="I65" t="str">
        <f t="shared" ca="1" si="1"/>
        <v>(15,'baking soda','can','beverage','baking soda is a very nice food and beverage category that is categorized under beverage cuisine',3.9,2,'available'),</v>
      </c>
    </row>
    <row r="66" spans="1:9" x14ac:dyDescent="0.25">
      <c r="A66">
        <v>15</v>
      </c>
      <c r="B66" t="s">
        <v>292</v>
      </c>
      <c r="C66" t="s">
        <v>200</v>
      </c>
      <c r="D66" t="s">
        <v>116</v>
      </c>
      <c r="E66" t="s">
        <v>304</v>
      </c>
      <c r="F66">
        <v>2</v>
      </c>
      <c r="G66">
        <f ca="1">RANDBETWEEN(0,5)</f>
        <v>3</v>
      </c>
      <c r="H66" t="str">
        <f t="shared" ca="1" si="0"/>
        <v>available</v>
      </c>
      <c r="I66" t="str">
        <f t="shared" ca="1" si="1"/>
        <v>(15,'bay leaves','can','beverage','bay leaves is a very nice food and beverage category that is categorized under beverage cuisine',2,3,'available'),</v>
      </c>
    </row>
    <row r="67" spans="1:9" x14ac:dyDescent="0.25">
      <c r="A67">
        <v>15</v>
      </c>
      <c r="B67" t="s">
        <v>256</v>
      </c>
      <c r="C67" t="s">
        <v>203</v>
      </c>
      <c r="D67" t="s">
        <v>116</v>
      </c>
      <c r="E67" t="s">
        <v>301</v>
      </c>
      <c r="F67">
        <v>10.7</v>
      </c>
      <c r="G67">
        <f ca="1">RANDBETWEEN(0,5)</f>
        <v>1</v>
      </c>
      <c r="H67" t="str">
        <f t="shared" ref="H67:H130" ca="1" si="2">IF(RAND()&lt;0.01,"unavailable","available")</f>
        <v>available</v>
      </c>
      <c r="I67" t="str">
        <f t="shared" ref="I67:I130" ca="1" si="3">SqlGenerator(A67:H67)</f>
        <v>(15,'brandy','bottle','beverage','brandy is a very nice food and beverage category that is categorized under beverage cuisine',10.7,1,'available'),</v>
      </c>
    </row>
    <row r="68" spans="1:9" x14ac:dyDescent="0.25">
      <c r="A68">
        <v>15</v>
      </c>
      <c r="B68" t="s">
        <v>273</v>
      </c>
      <c r="C68" t="s">
        <v>201</v>
      </c>
      <c r="D68" t="s">
        <v>116</v>
      </c>
      <c r="E68" t="s">
        <v>311</v>
      </c>
      <c r="F68">
        <v>5.6</v>
      </c>
      <c r="G68">
        <f ca="1">RANDBETWEEN(0,5)</f>
        <v>2</v>
      </c>
      <c r="H68" t="str">
        <f t="shared" ca="1" si="2"/>
        <v>available</v>
      </c>
      <c r="I68" t="str">
        <f t="shared" ca="1" si="3"/>
        <v>(15,'buckwheat','package','beverage','buckwheat is a very nice food and beverage category that is categorized under beverage cuisine',5.6,2,'available'),</v>
      </c>
    </row>
    <row r="69" spans="1:9" x14ac:dyDescent="0.25">
      <c r="A69">
        <v>15</v>
      </c>
      <c r="B69" t="s">
        <v>209</v>
      </c>
      <c r="C69" t="s">
        <v>200</v>
      </c>
      <c r="D69" t="s">
        <v>116</v>
      </c>
      <c r="E69" t="s">
        <v>300</v>
      </c>
      <c r="F69">
        <v>3.9</v>
      </c>
      <c r="G69">
        <f ca="1">RANDBETWEEN(0,5)</f>
        <v>1</v>
      </c>
      <c r="H69" t="str">
        <f t="shared" ca="1" si="2"/>
        <v>available</v>
      </c>
      <c r="I69" t="str">
        <f t="shared" ca="1" si="3"/>
        <v>(15,'chard','can','beverage','chard is a very nice food and beverage category that is categorized under beverage cuisine',3.9,1,'available'),</v>
      </c>
    </row>
    <row r="70" spans="1:9" x14ac:dyDescent="0.25">
      <c r="A70">
        <v>15</v>
      </c>
      <c r="B70" t="s">
        <v>237</v>
      </c>
      <c r="C70" t="s">
        <v>200</v>
      </c>
      <c r="D70" t="s">
        <v>116</v>
      </c>
      <c r="E70" t="s">
        <v>357</v>
      </c>
      <c r="F70">
        <v>2.4</v>
      </c>
      <c r="G70">
        <f ca="1">RANDBETWEEN(0,5)</f>
        <v>4</v>
      </c>
      <c r="H70" t="str">
        <f t="shared" ca="1" si="2"/>
        <v>available</v>
      </c>
      <c r="I70" t="str">
        <f t="shared" ca="1" si="3"/>
        <v>(15,'cooking wine','can','beverage','cooking wine is a very nice food and beverage category that is categorized under beverage cuisine',2.4,4,'available'),</v>
      </c>
    </row>
    <row r="71" spans="1:9" x14ac:dyDescent="0.25">
      <c r="A71">
        <v>15</v>
      </c>
      <c r="B71" t="s">
        <v>214</v>
      </c>
      <c r="C71" t="s">
        <v>201</v>
      </c>
      <c r="D71" t="s">
        <v>113</v>
      </c>
      <c r="E71" t="s">
        <v>342</v>
      </c>
      <c r="F71">
        <v>3.2</v>
      </c>
      <c r="G71">
        <f ca="1">RANDBETWEEN(0,5)</f>
        <v>3</v>
      </c>
      <c r="H71" t="str">
        <f t="shared" ca="1" si="2"/>
        <v>available</v>
      </c>
      <c r="I71" t="str">
        <f t="shared" ca="1" si="3"/>
        <v>(15,'tea','package','asian','tea is a very nice food and beverage category that is categorized under asian cuisine',3.2,3,'available'),</v>
      </c>
    </row>
    <row r="72" spans="1:9" x14ac:dyDescent="0.25">
      <c r="A72">
        <v>16</v>
      </c>
      <c r="B72" t="s">
        <v>227</v>
      </c>
      <c r="C72" t="s">
        <v>201</v>
      </c>
      <c r="D72" t="s">
        <v>114</v>
      </c>
      <c r="E72" t="s">
        <v>325</v>
      </c>
      <c r="F72">
        <v>2.5</v>
      </c>
      <c r="G72">
        <f ca="1">RANDBETWEEN(0,5)</f>
        <v>2</v>
      </c>
      <c r="H72" t="str">
        <f t="shared" ca="1" si="2"/>
        <v>available</v>
      </c>
      <c r="I72" t="str">
        <f t="shared" ca="1" si="3"/>
        <v>(16,'apples','package','fusion','apples is a very nice food and beverage category that is categorized under fusion cuisine',2.5,2,'available'),</v>
      </c>
    </row>
    <row r="73" spans="1:9" x14ac:dyDescent="0.25">
      <c r="A73">
        <v>16</v>
      </c>
      <c r="B73" t="s">
        <v>237</v>
      </c>
      <c r="C73" t="s">
        <v>200</v>
      </c>
      <c r="D73" t="s">
        <v>116</v>
      </c>
      <c r="E73" t="s">
        <v>357</v>
      </c>
      <c r="F73">
        <v>2.4</v>
      </c>
      <c r="G73">
        <f ca="1">RANDBETWEEN(0,5)</f>
        <v>3</v>
      </c>
      <c r="H73" t="str">
        <f t="shared" ca="1" si="2"/>
        <v>available</v>
      </c>
      <c r="I73" t="str">
        <f t="shared" ca="1" si="3"/>
        <v>(16,'cooking wine','can','beverage','cooking wine is a very nice food and beverage category that is categorized under beverage cuisine',2.4,3,'available'),</v>
      </c>
    </row>
    <row r="74" spans="1:9" x14ac:dyDescent="0.25">
      <c r="A74">
        <v>16</v>
      </c>
      <c r="B74" t="s">
        <v>225</v>
      </c>
      <c r="C74" t="s">
        <v>200</v>
      </c>
      <c r="D74" t="s">
        <v>114</v>
      </c>
      <c r="E74" t="s">
        <v>362</v>
      </c>
      <c r="F74">
        <v>5.8</v>
      </c>
      <c r="G74">
        <f ca="1">RANDBETWEEN(0,5)</f>
        <v>3</v>
      </c>
      <c r="H74" t="str">
        <f t="shared" ca="1" si="2"/>
        <v>available</v>
      </c>
      <c r="I74" t="str">
        <f t="shared" ca="1" si="3"/>
        <v>(16,'eggplants','can','fusion','eggplants is a very nice food and beverage category that is categorized under fusion cuisine',5.8,3,'available'),</v>
      </c>
    </row>
    <row r="75" spans="1:9" x14ac:dyDescent="0.25">
      <c r="A75">
        <v>16</v>
      </c>
      <c r="B75" t="s">
        <v>249</v>
      </c>
      <c r="C75" t="s">
        <v>200</v>
      </c>
      <c r="D75" t="s">
        <v>114</v>
      </c>
      <c r="E75" t="s">
        <v>361</v>
      </c>
      <c r="F75">
        <v>1</v>
      </c>
      <c r="G75">
        <f ca="1">RANDBETWEEN(0,5)</f>
        <v>0</v>
      </c>
      <c r="H75" t="str">
        <f t="shared" ca="1" si="2"/>
        <v>available</v>
      </c>
      <c r="I75" t="str">
        <f t="shared" ca="1" si="3"/>
        <v>(16,'hot sauce','can','fusion','hot sauce is a very nice food and beverage category that is categorized under fusion cuisine',1,0,'available'),</v>
      </c>
    </row>
    <row r="76" spans="1:9" x14ac:dyDescent="0.25">
      <c r="A76">
        <v>16</v>
      </c>
      <c r="B76" t="s">
        <v>226</v>
      </c>
      <c r="C76" t="s">
        <v>202</v>
      </c>
      <c r="D76" t="s">
        <v>114</v>
      </c>
      <c r="E76" t="s">
        <v>305</v>
      </c>
      <c r="F76">
        <v>8.3000000000000007</v>
      </c>
      <c r="G76">
        <f ca="1">RANDBETWEEN(0,5)</f>
        <v>4</v>
      </c>
      <c r="H76" t="str">
        <f t="shared" ca="1" si="2"/>
        <v>available</v>
      </c>
      <c r="I76" t="str">
        <f t="shared" ca="1" si="3"/>
        <v>(16,'mackerel','piece','fusion','mackerel is a very nice food and beverage category that is categorized under fusion cuisine',8.3,4,'available'),</v>
      </c>
    </row>
    <row r="77" spans="1:9" x14ac:dyDescent="0.25">
      <c r="A77">
        <v>16</v>
      </c>
      <c r="B77" t="s">
        <v>247</v>
      </c>
      <c r="C77" t="s">
        <v>200</v>
      </c>
      <c r="D77" t="s">
        <v>114</v>
      </c>
      <c r="E77" t="s">
        <v>332</v>
      </c>
      <c r="F77">
        <v>2.2000000000000002</v>
      </c>
      <c r="G77">
        <f ca="1">RANDBETWEEN(0,5)</f>
        <v>2</v>
      </c>
      <c r="H77" t="str">
        <f t="shared" ca="1" si="2"/>
        <v>available</v>
      </c>
      <c r="I77" t="str">
        <f t="shared" ca="1" si="3"/>
        <v>(16,'peaches','can','fusion','peaches is a very nice food and beverage category that is categorized under fusion cuisine',2.2,2,'available'),</v>
      </c>
    </row>
    <row r="78" spans="1:9" x14ac:dyDescent="0.25">
      <c r="A78">
        <v>16</v>
      </c>
      <c r="B78" t="s">
        <v>250</v>
      </c>
      <c r="C78" t="s">
        <v>201</v>
      </c>
      <c r="D78" t="s">
        <v>114</v>
      </c>
      <c r="E78" t="s">
        <v>354</v>
      </c>
      <c r="F78">
        <v>3.4</v>
      </c>
      <c r="G78">
        <f ca="1">RANDBETWEEN(0,5)</f>
        <v>4</v>
      </c>
      <c r="H78" t="str">
        <f t="shared" ca="1" si="2"/>
        <v>available</v>
      </c>
      <c r="I78" t="str">
        <f t="shared" ca="1" si="3"/>
        <v>(16,'pumpkin seeds','package','fusion','pumpkin seeds is a very nice food and beverage category that is categorized under fusion cuisine',3.4,4,'available'),</v>
      </c>
    </row>
    <row r="79" spans="1:9" x14ac:dyDescent="0.25">
      <c r="A79">
        <v>16</v>
      </c>
      <c r="B79" t="s">
        <v>228</v>
      </c>
      <c r="C79" t="s">
        <v>201</v>
      </c>
      <c r="D79" t="s">
        <v>114</v>
      </c>
      <c r="E79" t="s">
        <v>319</v>
      </c>
      <c r="F79">
        <v>2</v>
      </c>
      <c r="G79">
        <f ca="1">RANDBETWEEN(0,5)</f>
        <v>5</v>
      </c>
      <c r="H79" t="str">
        <f t="shared" ca="1" si="2"/>
        <v>available</v>
      </c>
      <c r="I79" t="str">
        <f t="shared" ca="1" si="3"/>
        <v>(16,'red pepper flakes','package','fusion','red pepper flakes is a very nice food and beverage category that is categorized under fusion cuisine',2,5,'available'),</v>
      </c>
    </row>
    <row r="80" spans="1:9" x14ac:dyDescent="0.25">
      <c r="A80">
        <v>17</v>
      </c>
      <c r="B80" t="s">
        <v>274</v>
      </c>
      <c r="C80" t="s">
        <v>200</v>
      </c>
      <c r="D80" t="s">
        <v>113</v>
      </c>
      <c r="E80" t="s">
        <v>322</v>
      </c>
      <c r="F80">
        <v>2.4</v>
      </c>
      <c r="G80">
        <f ca="1">RANDBETWEEN(0,5)</f>
        <v>5</v>
      </c>
      <c r="H80" t="str">
        <f t="shared" ca="1" si="2"/>
        <v>available</v>
      </c>
      <c r="I80" t="str">
        <f t="shared" ca="1" si="3"/>
        <v>(17,'cremini mushrooms','can','asian','cremini mushrooms is a very nice food and beverage category that is categorized under asian cuisine',2.4,5,'available'),</v>
      </c>
    </row>
    <row r="81" spans="1:9" x14ac:dyDescent="0.25">
      <c r="A81">
        <v>17</v>
      </c>
      <c r="B81" t="s">
        <v>216</v>
      </c>
      <c r="C81" t="s">
        <v>200</v>
      </c>
      <c r="D81" t="s">
        <v>113</v>
      </c>
      <c r="E81" t="s">
        <v>343</v>
      </c>
      <c r="F81">
        <v>2</v>
      </c>
      <c r="G81">
        <f ca="1">RANDBETWEEN(0,5)</f>
        <v>0</v>
      </c>
      <c r="H81" t="str">
        <f t="shared" ca="1" si="2"/>
        <v>available</v>
      </c>
      <c r="I81" t="str">
        <f t="shared" ca="1" si="3"/>
        <v>(17,'gelatin','can','asian','gelatin is a very nice food and beverage category that is categorized under asian cuisine',2,0,'available'),</v>
      </c>
    </row>
    <row r="82" spans="1:9" x14ac:dyDescent="0.25">
      <c r="A82">
        <v>17</v>
      </c>
      <c r="B82" t="s">
        <v>278</v>
      </c>
      <c r="C82" t="s">
        <v>202</v>
      </c>
      <c r="D82" t="s">
        <v>113</v>
      </c>
      <c r="E82" t="s">
        <v>306</v>
      </c>
      <c r="F82">
        <v>5.2</v>
      </c>
      <c r="G82">
        <f ca="1">RANDBETWEEN(0,5)</f>
        <v>4</v>
      </c>
      <c r="H82" t="str">
        <f t="shared" ca="1" si="2"/>
        <v>available</v>
      </c>
      <c r="I82" t="str">
        <f t="shared" ca="1" si="3"/>
        <v>(17,'grouper','piece','asian','grouper is a very nice food and beverage category that is categorized under asian cuisine',5.2,4,'available'),</v>
      </c>
    </row>
    <row r="83" spans="1:9" x14ac:dyDescent="0.25">
      <c r="A83">
        <v>17</v>
      </c>
      <c r="B83" t="s">
        <v>211</v>
      </c>
      <c r="C83" t="s">
        <v>201</v>
      </c>
      <c r="D83" t="s">
        <v>113</v>
      </c>
      <c r="E83" t="s">
        <v>358</v>
      </c>
      <c r="F83">
        <v>2.6</v>
      </c>
      <c r="G83">
        <f ca="1">RANDBETWEEN(0,5)</f>
        <v>3</v>
      </c>
      <c r="H83" t="str">
        <f t="shared" ca="1" si="2"/>
        <v>available</v>
      </c>
      <c r="I83" t="str">
        <f t="shared" ca="1" si="3"/>
        <v>(17,'lettuce','package','asian','lettuce is a very nice food and beverage category that is categorized under asian cuisine',2.6,3,'available'),</v>
      </c>
    </row>
    <row r="84" spans="1:9" x14ac:dyDescent="0.25">
      <c r="A84">
        <v>17</v>
      </c>
      <c r="B84" t="s">
        <v>215</v>
      </c>
      <c r="C84" t="s">
        <v>202</v>
      </c>
      <c r="D84" t="s">
        <v>113</v>
      </c>
      <c r="E84" t="s">
        <v>347</v>
      </c>
      <c r="F84">
        <v>4.5</v>
      </c>
      <c r="G84">
        <f ca="1">RANDBETWEEN(0,5)</f>
        <v>0</v>
      </c>
      <c r="H84" t="str">
        <f t="shared" ca="1" si="2"/>
        <v>available</v>
      </c>
      <c r="I84" t="str">
        <f t="shared" ca="1" si="3"/>
        <v>(17,'liver','piece','asian','liver is a very nice food and beverage category that is categorized under asian cuisine',4.5,0,'available'),</v>
      </c>
    </row>
    <row r="85" spans="1:9" x14ac:dyDescent="0.25">
      <c r="A85">
        <v>17</v>
      </c>
      <c r="B85" t="s">
        <v>275</v>
      </c>
      <c r="C85" t="s">
        <v>201</v>
      </c>
      <c r="D85" t="s">
        <v>114</v>
      </c>
      <c r="E85" t="s">
        <v>330</v>
      </c>
      <c r="F85">
        <v>1.4</v>
      </c>
      <c r="G85">
        <f ca="1">RANDBETWEEN(0,5)</f>
        <v>0</v>
      </c>
      <c r="H85" t="str">
        <f t="shared" ca="1" si="2"/>
        <v>available</v>
      </c>
      <c r="I85" t="str">
        <f t="shared" ca="1" si="3"/>
        <v>(17,'ricotta cheese','package','fusion','ricotta cheese is a very nice food and beverage category that is categorized under fusion cuisine',1.4,0,'available'),</v>
      </c>
    </row>
    <row r="86" spans="1:9" x14ac:dyDescent="0.25">
      <c r="A86">
        <v>18</v>
      </c>
      <c r="B86" t="s">
        <v>267</v>
      </c>
      <c r="C86" t="s">
        <v>201</v>
      </c>
      <c r="D86" t="s">
        <v>114</v>
      </c>
      <c r="E86" t="s">
        <v>331</v>
      </c>
      <c r="F86">
        <v>3.1</v>
      </c>
      <c r="G86">
        <f ca="1">RANDBETWEEN(0,5)</f>
        <v>1</v>
      </c>
      <c r="H86" t="str">
        <f t="shared" ca="1" si="2"/>
        <v>available</v>
      </c>
      <c r="I86" t="str">
        <f t="shared" ca="1" si="3"/>
        <v>(18,'cottage cheese','package','fusion','cottage cheese is a very nice food and beverage category that is categorized under fusion cuisine',3.1,1,'available'),</v>
      </c>
    </row>
    <row r="87" spans="1:9" x14ac:dyDescent="0.25">
      <c r="A87">
        <v>18</v>
      </c>
      <c r="B87" t="s">
        <v>271</v>
      </c>
      <c r="C87" t="s">
        <v>201</v>
      </c>
      <c r="D87" t="s">
        <v>114</v>
      </c>
      <c r="E87" t="s">
        <v>307</v>
      </c>
      <c r="F87">
        <v>2.2000000000000002</v>
      </c>
      <c r="G87">
        <f ca="1">RANDBETWEEN(0,5)</f>
        <v>5</v>
      </c>
      <c r="H87" t="str">
        <f t="shared" ca="1" si="2"/>
        <v>available</v>
      </c>
      <c r="I87" t="str">
        <f t="shared" ca="1" si="3"/>
        <v>(18,'cream cheese','package','fusion','cream cheese is a very nice food and beverage category that is categorized under fusion cuisine',2.2,5,'available'),</v>
      </c>
    </row>
    <row r="88" spans="1:9" x14ac:dyDescent="0.25">
      <c r="A88">
        <v>18</v>
      </c>
      <c r="B88" t="s">
        <v>262</v>
      </c>
      <c r="C88" t="s">
        <v>201</v>
      </c>
      <c r="D88" t="s">
        <v>114</v>
      </c>
      <c r="E88" t="s">
        <v>309</v>
      </c>
      <c r="F88">
        <v>1.7</v>
      </c>
      <c r="G88">
        <f ca="1">RANDBETWEEN(0,5)</f>
        <v>2</v>
      </c>
      <c r="H88" t="str">
        <f t="shared" ca="1" si="2"/>
        <v>available</v>
      </c>
      <c r="I88" t="str">
        <f t="shared" ca="1" si="3"/>
        <v>(18,'feta cheese','package','fusion','feta cheese is a very nice food and beverage category that is categorized under fusion cuisine',1.7,2,'available'),</v>
      </c>
    </row>
    <row r="89" spans="1:9" x14ac:dyDescent="0.25">
      <c r="A89">
        <v>18</v>
      </c>
      <c r="B89" t="s">
        <v>226</v>
      </c>
      <c r="C89" t="s">
        <v>202</v>
      </c>
      <c r="D89" t="s">
        <v>114</v>
      </c>
      <c r="E89" t="s">
        <v>305</v>
      </c>
      <c r="F89">
        <v>8.3000000000000007</v>
      </c>
      <c r="G89">
        <f ca="1">RANDBETWEEN(0,5)</f>
        <v>3</v>
      </c>
      <c r="H89" t="str">
        <f t="shared" ca="1" si="2"/>
        <v>available</v>
      </c>
      <c r="I89" t="str">
        <f t="shared" ca="1" si="3"/>
        <v>(18,'mackerel','piece','fusion','mackerel is a very nice food and beverage category that is categorized under fusion cuisine',8.3,3,'available'),</v>
      </c>
    </row>
    <row r="90" spans="1:9" x14ac:dyDescent="0.25">
      <c r="A90">
        <v>18</v>
      </c>
      <c r="B90" t="s">
        <v>247</v>
      </c>
      <c r="C90" t="s">
        <v>200</v>
      </c>
      <c r="D90" t="s">
        <v>114</v>
      </c>
      <c r="E90" t="s">
        <v>332</v>
      </c>
      <c r="F90">
        <v>2.2000000000000002</v>
      </c>
      <c r="G90">
        <f ca="1">RANDBETWEEN(0,5)</f>
        <v>2</v>
      </c>
      <c r="H90" t="str">
        <f t="shared" ca="1" si="2"/>
        <v>available</v>
      </c>
      <c r="I90" t="str">
        <f t="shared" ca="1" si="3"/>
        <v>(18,'peaches','can','fusion','peaches is a very nice food and beverage category that is categorized under fusion cuisine',2.2,2,'available'),</v>
      </c>
    </row>
    <row r="91" spans="1:9" x14ac:dyDescent="0.25">
      <c r="A91">
        <v>18</v>
      </c>
      <c r="B91" t="s">
        <v>254</v>
      </c>
      <c r="C91" t="s">
        <v>201</v>
      </c>
      <c r="D91" t="s">
        <v>114</v>
      </c>
      <c r="E91" t="s">
        <v>316</v>
      </c>
      <c r="F91">
        <v>1.2</v>
      </c>
      <c r="G91">
        <f ca="1">RANDBETWEEN(0,5)</f>
        <v>0</v>
      </c>
      <c r="H91" t="str">
        <f t="shared" ca="1" si="2"/>
        <v>available</v>
      </c>
      <c r="I91" t="str">
        <f t="shared" ca="1" si="3"/>
        <v>(18,'provolone','package','fusion','provolone is a very nice food and beverage category that is categorized under fusion cuisine',1.2,0,'available'),</v>
      </c>
    </row>
    <row r="92" spans="1:9" x14ac:dyDescent="0.25">
      <c r="A92">
        <v>18</v>
      </c>
      <c r="B92" t="s">
        <v>228</v>
      </c>
      <c r="C92" t="s">
        <v>201</v>
      </c>
      <c r="D92" t="s">
        <v>114</v>
      </c>
      <c r="E92" t="s">
        <v>319</v>
      </c>
      <c r="F92">
        <v>2</v>
      </c>
      <c r="G92">
        <f ca="1">RANDBETWEEN(0,5)</f>
        <v>3</v>
      </c>
      <c r="H92" t="str">
        <f t="shared" ca="1" si="2"/>
        <v>available</v>
      </c>
      <c r="I92" t="str">
        <f t="shared" ca="1" si="3"/>
        <v>(18,'red pepper flakes','package','fusion','red pepper flakes is a very nice food and beverage category that is categorized under fusion cuisine',2,3,'available'),</v>
      </c>
    </row>
    <row r="93" spans="1:9" x14ac:dyDescent="0.25">
      <c r="A93">
        <v>18</v>
      </c>
      <c r="B93" t="s">
        <v>214</v>
      </c>
      <c r="C93" t="s">
        <v>201</v>
      </c>
      <c r="D93" t="s">
        <v>113</v>
      </c>
      <c r="E93" t="s">
        <v>342</v>
      </c>
      <c r="F93">
        <v>3.2</v>
      </c>
      <c r="G93">
        <f ca="1">RANDBETWEEN(0,5)</f>
        <v>3</v>
      </c>
      <c r="H93" t="str">
        <f t="shared" ca="1" si="2"/>
        <v>available</v>
      </c>
      <c r="I93" t="str">
        <f t="shared" ca="1" si="3"/>
        <v>(18,'tea','package','asian','tea is a very nice food and beverage category that is categorized under asian cuisine',3.2,3,'available'),</v>
      </c>
    </row>
    <row r="94" spans="1:9" x14ac:dyDescent="0.25">
      <c r="A94">
        <v>19</v>
      </c>
      <c r="B94" t="s">
        <v>248</v>
      </c>
      <c r="C94" t="s">
        <v>200</v>
      </c>
      <c r="D94" t="s">
        <v>114</v>
      </c>
      <c r="E94" t="s">
        <v>297</v>
      </c>
      <c r="F94">
        <v>1.5</v>
      </c>
      <c r="G94">
        <f ca="1">RANDBETWEEN(0,5)</f>
        <v>5</v>
      </c>
      <c r="H94" t="str">
        <f t="shared" ca="1" si="2"/>
        <v>available</v>
      </c>
      <c r="I94" t="str">
        <f t="shared" ca="1" si="3"/>
        <v>(19,'coriander','can','fusion','coriander is a very nice food and beverage category that is categorized under fusion cuisine',1.5,5,'available'),</v>
      </c>
    </row>
    <row r="95" spans="1:9" x14ac:dyDescent="0.25">
      <c r="A95">
        <v>19</v>
      </c>
      <c r="B95" t="s">
        <v>225</v>
      </c>
      <c r="C95" t="s">
        <v>200</v>
      </c>
      <c r="D95" t="s">
        <v>114</v>
      </c>
      <c r="E95" t="s">
        <v>362</v>
      </c>
      <c r="F95">
        <v>5.8</v>
      </c>
      <c r="G95">
        <f ca="1">RANDBETWEEN(0,5)</f>
        <v>2</v>
      </c>
      <c r="H95" t="str">
        <f t="shared" ca="1" si="2"/>
        <v>available</v>
      </c>
      <c r="I95" t="str">
        <f t="shared" ca="1" si="3"/>
        <v>(19,'eggplants','can','fusion','eggplants is a very nice food and beverage category that is categorized under fusion cuisine',5.8,2,'available'),</v>
      </c>
    </row>
    <row r="96" spans="1:9" x14ac:dyDescent="0.25">
      <c r="A96">
        <v>19</v>
      </c>
      <c r="B96" t="s">
        <v>262</v>
      </c>
      <c r="C96" t="s">
        <v>201</v>
      </c>
      <c r="D96" t="s">
        <v>114</v>
      </c>
      <c r="E96" t="s">
        <v>309</v>
      </c>
      <c r="F96">
        <v>1.7</v>
      </c>
      <c r="G96">
        <f ca="1">RANDBETWEEN(0,5)</f>
        <v>1</v>
      </c>
      <c r="H96" t="str">
        <f t="shared" ca="1" si="2"/>
        <v>available</v>
      </c>
      <c r="I96" t="str">
        <f t="shared" ca="1" si="3"/>
        <v>(19,'feta cheese','package','fusion','feta cheese is a very nice food and beverage category that is categorized under fusion cuisine',1.7,1,'available'),</v>
      </c>
    </row>
    <row r="97" spans="1:9" x14ac:dyDescent="0.25">
      <c r="A97">
        <v>19</v>
      </c>
      <c r="B97" t="s">
        <v>249</v>
      </c>
      <c r="C97" t="s">
        <v>200</v>
      </c>
      <c r="D97" t="s">
        <v>114</v>
      </c>
      <c r="E97" t="s">
        <v>361</v>
      </c>
      <c r="F97">
        <v>1</v>
      </c>
      <c r="G97">
        <f ca="1">RANDBETWEEN(0,5)</f>
        <v>5</v>
      </c>
      <c r="H97" t="str">
        <f t="shared" ca="1" si="2"/>
        <v>available</v>
      </c>
      <c r="I97" t="str">
        <f t="shared" ca="1" si="3"/>
        <v>(19,'hot sauce','can','fusion','hot sauce is a very nice food and beverage category that is categorized under fusion cuisine',1,5,'available'),</v>
      </c>
    </row>
    <row r="98" spans="1:9" x14ac:dyDescent="0.25">
      <c r="A98">
        <v>19</v>
      </c>
      <c r="B98" t="s">
        <v>254</v>
      </c>
      <c r="C98" t="s">
        <v>201</v>
      </c>
      <c r="D98" t="s">
        <v>114</v>
      </c>
      <c r="E98" t="s">
        <v>316</v>
      </c>
      <c r="F98">
        <v>1.2</v>
      </c>
      <c r="G98">
        <f ca="1">RANDBETWEEN(0,5)</f>
        <v>0</v>
      </c>
      <c r="H98" t="str">
        <f t="shared" ca="1" si="2"/>
        <v>available</v>
      </c>
      <c r="I98" t="str">
        <f t="shared" ca="1" si="3"/>
        <v>(19,'provolone','package','fusion','provolone is a very nice food and beverage category that is categorized under fusion cuisine',1.2,0,'available'),</v>
      </c>
    </row>
    <row r="99" spans="1:9" x14ac:dyDescent="0.25">
      <c r="A99">
        <v>19</v>
      </c>
      <c r="B99" t="s">
        <v>228</v>
      </c>
      <c r="C99" t="s">
        <v>201</v>
      </c>
      <c r="D99" t="s">
        <v>114</v>
      </c>
      <c r="E99" t="s">
        <v>319</v>
      </c>
      <c r="F99">
        <v>2</v>
      </c>
      <c r="G99">
        <f ca="1">RANDBETWEEN(0,5)</f>
        <v>1</v>
      </c>
      <c r="H99" t="str">
        <f t="shared" ca="1" si="2"/>
        <v>available</v>
      </c>
      <c r="I99" t="str">
        <f t="shared" ca="1" si="3"/>
        <v>(19,'red pepper flakes','package','fusion','red pepper flakes is a very nice food and beverage category that is categorized under fusion cuisine',2,1,'available'),</v>
      </c>
    </row>
    <row r="100" spans="1:9" x14ac:dyDescent="0.25">
      <c r="A100">
        <v>19</v>
      </c>
      <c r="B100" t="s">
        <v>275</v>
      </c>
      <c r="C100" t="s">
        <v>201</v>
      </c>
      <c r="D100" t="s">
        <v>114</v>
      </c>
      <c r="E100" t="s">
        <v>330</v>
      </c>
      <c r="F100">
        <v>1.4</v>
      </c>
      <c r="G100">
        <f ca="1">RANDBETWEEN(0,5)</f>
        <v>2</v>
      </c>
      <c r="H100" t="str">
        <f t="shared" ca="1" si="2"/>
        <v>available</v>
      </c>
      <c r="I100" t="str">
        <f t="shared" ca="1" si="3"/>
        <v>(19,'ricotta cheese','package','fusion','ricotta cheese is a very nice food and beverage category that is categorized under fusion cuisine',1.4,2,'available'),</v>
      </c>
    </row>
    <row r="101" spans="1:9" x14ac:dyDescent="0.25">
      <c r="A101">
        <v>19</v>
      </c>
      <c r="B101" t="s">
        <v>230</v>
      </c>
      <c r="C101" t="s">
        <v>201</v>
      </c>
      <c r="D101" t="s">
        <v>114</v>
      </c>
      <c r="E101" t="s">
        <v>308</v>
      </c>
      <c r="F101">
        <v>4</v>
      </c>
      <c r="G101">
        <f ca="1">RANDBETWEEN(0,5)</f>
        <v>5</v>
      </c>
      <c r="H101" t="str">
        <f t="shared" ca="1" si="2"/>
        <v>available</v>
      </c>
      <c r="I101" t="str">
        <f t="shared" ca="1" si="3"/>
        <v>(19,'spearmint','package','fusion','spearmint is a very nice food and beverage category that is categorized under fusion cuisine',4,5,'available'),</v>
      </c>
    </row>
    <row r="102" spans="1:9" x14ac:dyDescent="0.25">
      <c r="A102">
        <v>20</v>
      </c>
      <c r="B102" t="s">
        <v>248</v>
      </c>
      <c r="C102" t="s">
        <v>200</v>
      </c>
      <c r="D102" t="s">
        <v>114</v>
      </c>
      <c r="E102" t="s">
        <v>297</v>
      </c>
      <c r="F102">
        <v>1.5</v>
      </c>
      <c r="G102">
        <f ca="1">RANDBETWEEN(0,5)</f>
        <v>3</v>
      </c>
      <c r="H102" t="str">
        <f t="shared" ca="1" si="2"/>
        <v>available</v>
      </c>
      <c r="I102" t="str">
        <f t="shared" ca="1" si="3"/>
        <v>(20,'coriander','can','fusion','coriander is a very nice food and beverage category that is categorized under fusion cuisine',1.5,3,'available'),</v>
      </c>
    </row>
    <row r="103" spans="1:9" x14ac:dyDescent="0.25">
      <c r="A103">
        <v>20</v>
      </c>
      <c r="B103" t="s">
        <v>225</v>
      </c>
      <c r="C103" t="s">
        <v>200</v>
      </c>
      <c r="D103" t="s">
        <v>114</v>
      </c>
      <c r="E103" t="s">
        <v>362</v>
      </c>
      <c r="F103">
        <v>5.8</v>
      </c>
      <c r="G103">
        <f ca="1">RANDBETWEEN(0,5)</f>
        <v>3</v>
      </c>
      <c r="H103" t="str">
        <f t="shared" ca="1" si="2"/>
        <v>available</v>
      </c>
      <c r="I103" t="str">
        <f t="shared" ca="1" si="3"/>
        <v>(20,'eggplants','can','fusion','eggplants is a very nice food and beverage category that is categorized under fusion cuisine',5.8,3,'available'),</v>
      </c>
    </row>
    <row r="104" spans="1:9" x14ac:dyDescent="0.25">
      <c r="A104">
        <v>20</v>
      </c>
      <c r="B104" t="s">
        <v>262</v>
      </c>
      <c r="C104" t="s">
        <v>201</v>
      </c>
      <c r="D104" t="s">
        <v>114</v>
      </c>
      <c r="E104" t="s">
        <v>309</v>
      </c>
      <c r="F104">
        <v>1.7</v>
      </c>
      <c r="G104">
        <f ca="1">RANDBETWEEN(0,5)</f>
        <v>5</v>
      </c>
      <c r="H104" t="str">
        <f t="shared" ca="1" si="2"/>
        <v>available</v>
      </c>
      <c r="I104" t="str">
        <f t="shared" ca="1" si="3"/>
        <v>(20,'feta cheese','package','fusion','feta cheese is a very nice food and beverage category that is categorized under fusion cuisine',1.7,5,'available'),</v>
      </c>
    </row>
    <row r="105" spans="1:9" x14ac:dyDescent="0.25">
      <c r="A105">
        <v>20</v>
      </c>
      <c r="B105" t="s">
        <v>226</v>
      </c>
      <c r="C105" t="s">
        <v>202</v>
      </c>
      <c r="D105" t="s">
        <v>114</v>
      </c>
      <c r="E105" t="s">
        <v>305</v>
      </c>
      <c r="F105">
        <v>8.3000000000000007</v>
      </c>
      <c r="G105">
        <f ca="1">RANDBETWEEN(0,5)</f>
        <v>5</v>
      </c>
      <c r="H105" t="str">
        <f t="shared" ca="1" si="2"/>
        <v>available</v>
      </c>
      <c r="I105" t="str">
        <f t="shared" ca="1" si="3"/>
        <v>(20,'mackerel','piece','fusion','mackerel is a very nice food and beverage category that is categorized under fusion cuisine',8.3,5,'available'),</v>
      </c>
    </row>
    <row r="106" spans="1:9" x14ac:dyDescent="0.25">
      <c r="A106">
        <v>20</v>
      </c>
      <c r="B106" t="s">
        <v>228</v>
      </c>
      <c r="C106" t="s">
        <v>201</v>
      </c>
      <c r="D106" t="s">
        <v>114</v>
      </c>
      <c r="E106" t="s">
        <v>319</v>
      </c>
      <c r="F106">
        <v>2</v>
      </c>
      <c r="G106">
        <f ca="1">RANDBETWEEN(0,5)</f>
        <v>4</v>
      </c>
      <c r="H106" t="str">
        <f t="shared" ca="1" si="2"/>
        <v>available</v>
      </c>
      <c r="I106" t="str">
        <f t="shared" ca="1" si="3"/>
        <v>(20,'red pepper flakes','package','fusion','red pepper flakes is a very nice food and beverage category that is categorized under fusion cuisine',2,4,'available'),</v>
      </c>
    </row>
    <row r="107" spans="1:9" x14ac:dyDescent="0.25">
      <c r="A107">
        <v>20</v>
      </c>
      <c r="B107" t="s">
        <v>230</v>
      </c>
      <c r="C107" t="s">
        <v>201</v>
      </c>
      <c r="D107" t="s">
        <v>114</v>
      </c>
      <c r="E107" t="s">
        <v>308</v>
      </c>
      <c r="F107">
        <v>4</v>
      </c>
      <c r="G107">
        <f ca="1">RANDBETWEEN(0,5)</f>
        <v>3</v>
      </c>
      <c r="H107" t="str">
        <f t="shared" ca="1" si="2"/>
        <v>available</v>
      </c>
      <c r="I107" t="str">
        <f t="shared" ca="1" si="3"/>
        <v>(20,'spearmint','package','fusion','spearmint is a very nice food and beverage category that is categorized under fusion cuisine',4,3,'available'),</v>
      </c>
    </row>
    <row r="108" spans="1:9" x14ac:dyDescent="0.25">
      <c r="A108">
        <v>21</v>
      </c>
      <c r="B108" t="s">
        <v>213</v>
      </c>
      <c r="C108" t="s">
        <v>202</v>
      </c>
      <c r="D108" t="s">
        <v>113</v>
      </c>
      <c r="E108" t="s">
        <v>303</v>
      </c>
      <c r="F108">
        <v>6.9</v>
      </c>
      <c r="G108">
        <f ca="1">RANDBETWEEN(0,5)</f>
        <v>1</v>
      </c>
      <c r="H108" t="str">
        <f t="shared" ca="1" si="2"/>
        <v>available</v>
      </c>
      <c r="I108" t="str">
        <f t="shared" ca="1" si="3"/>
        <v>(21,'cantaloupes','piece','asian','cantaloupes is a very nice food and beverage category that is categorized under asian cuisine',6.9,1,'available'),</v>
      </c>
    </row>
    <row r="109" spans="1:9" x14ac:dyDescent="0.25">
      <c r="A109">
        <v>21</v>
      </c>
      <c r="B109" t="s">
        <v>218</v>
      </c>
      <c r="C109" t="s">
        <v>200</v>
      </c>
      <c r="D109" t="s">
        <v>113</v>
      </c>
      <c r="E109" t="s">
        <v>344</v>
      </c>
      <c r="F109">
        <v>5.0999999999999996</v>
      </c>
      <c r="G109">
        <f ca="1">RANDBETWEEN(0,5)</f>
        <v>3</v>
      </c>
      <c r="H109" t="str">
        <f t="shared" ca="1" si="2"/>
        <v>available</v>
      </c>
      <c r="I109" t="str">
        <f t="shared" ca="1" si="3"/>
        <v>(21,'corn','can','asian','corn is a very nice food and beverage category that is categorized under asian cuisine',5.1,3,'available'),</v>
      </c>
    </row>
    <row r="110" spans="1:9" x14ac:dyDescent="0.25">
      <c r="A110">
        <v>21</v>
      </c>
      <c r="B110" t="s">
        <v>266</v>
      </c>
      <c r="C110" t="s">
        <v>200</v>
      </c>
      <c r="D110" t="s">
        <v>113</v>
      </c>
      <c r="E110" t="s">
        <v>310</v>
      </c>
      <c r="F110">
        <v>2.1</v>
      </c>
      <c r="G110">
        <f ca="1">RANDBETWEEN(0,5)</f>
        <v>4</v>
      </c>
      <c r="H110" t="str">
        <f t="shared" ca="1" si="2"/>
        <v>available</v>
      </c>
      <c r="I110" t="str">
        <f t="shared" ca="1" si="3"/>
        <v>(21,'cornmeal','can','asian','cornmeal is a very nice food and beverage category that is categorized under asian cuisine',2.1,4,'available'),</v>
      </c>
    </row>
    <row r="111" spans="1:9" x14ac:dyDescent="0.25">
      <c r="A111">
        <v>21</v>
      </c>
      <c r="B111" t="s">
        <v>216</v>
      </c>
      <c r="C111" t="s">
        <v>200</v>
      </c>
      <c r="D111" t="s">
        <v>113</v>
      </c>
      <c r="E111" t="s">
        <v>343</v>
      </c>
      <c r="F111">
        <v>2</v>
      </c>
      <c r="G111">
        <f ca="1">RANDBETWEEN(0,5)</f>
        <v>5</v>
      </c>
      <c r="H111" t="str">
        <f t="shared" ca="1" si="2"/>
        <v>available</v>
      </c>
      <c r="I111" t="str">
        <f t="shared" ca="1" si="3"/>
        <v>(21,'gelatin','can','asian','gelatin is a very nice food and beverage category that is categorized under asian cuisine',2,5,'available'),</v>
      </c>
    </row>
    <row r="112" spans="1:9" x14ac:dyDescent="0.25">
      <c r="A112">
        <v>21</v>
      </c>
      <c r="B112" t="s">
        <v>252</v>
      </c>
      <c r="C112" t="s">
        <v>200</v>
      </c>
      <c r="D112" t="s">
        <v>113</v>
      </c>
      <c r="E112" t="s">
        <v>334</v>
      </c>
      <c r="F112">
        <v>4.4000000000000004</v>
      </c>
      <c r="G112">
        <f ca="1">RANDBETWEEN(0,5)</f>
        <v>5</v>
      </c>
      <c r="H112" t="str">
        <f t="shared" ca="1" si="2"/>
        <v>available</v>
      </c>
      <c r="I112" t="str">
        <f t="shared" ca="1" si="3"/>
        <v>(21,'mushrooms','can','asian','mushrooms is a very nice food and beverage category that is categorized under asian cuisine',4.4,5,'available'),</v>
      </c>
    </row>
    <row r="113" spans="1:9" x14ac:dyDescent="0.25">
      <c r="A113">
        <v>21</v>
      </c>
      <c r="B113" t="s">
        <v>275</v>
      </c>
      <c r="C113" t="s">
        <v>201</v>
      </c>
      <c r="D113" t="s">
        <v>114</v>
      </c>
      <c r="E113" t="s">
        <v>330</v>
      </c>
      <c r="F113">
        <v>1.4</v>
      </c>
      <c r="G113">
        <f ca="1">RANDBETWEEN(0,5)</f>
        <v>4</v>
      </c>
      <c r="H113" t="str">
        <f t="shared" ca="1" si="2"/>
        <v>available</v>
      </c>
      <c r="I113" t="str">
        <f t="shared" ca="1" si="3"/>
        <v>(21,'ricotta cheese','package','fusion','ricotta cheese is a very nice food and beverage category that is categorized under fusion cuisine',1.4,4,'available'),</v>
      </c>
    </row>
    <row r="114" spans="1:9" x14ac:dyDescent="0.25">
      <c r="A114">
        <v>22</v>
      </c>
      <c r="B114" t="s">
        <v>282</v>
      </c>
      <c r="C114" t="s">
        <v>201</v>
      </c>
      <c r="D114" t="s">
        <v>116</v>
      </c>
      <c r="E114" t="s">
        <v>337</v>
      </c>
      <c r="F114">
        <v>1.1000000000000001</v>
      </c>
      <c r="G114">
        <f ca="1">RANDBETWEEN(0,5)</f>
        <v>3</v>
      </c>
      <c r="H114" t="str">
        <f t="shared" ca="1" si="2"/>
        <v>available</v>
      </c>
      <c r="I114" t="str">
        <f t="shared" ca="1" si="3"/>
        <v>(22,'amaretto','package','beverage','amaretto is a very nice food and beverage category that is categorized under beverage cuisine',1.1,3,'available'),</v>
      </c>
    </row>
    <row r="115" spans="1:9" x14ac:dyDescent="0.25">
      <c r="A115">
        <v>22</v>
      </c>
      <c r="B115" t="s">
        <v>256</v>
      </c>
      <c r="C115" t="s">
        <v>203</v>
      </c>
      <c r="D115" t="s">
        <v>116</v>
      </c>
      <c r="E115" t="s">
        <v>301</v>
      </c>
      <c r="F115">
        <v>10.7</v>
      </c>
      <c r="G115">
        <f ca="1">RANDBETWEEN(0,5)</f>
        <v>3</v>
      </c>
      <c r="H115" t="str">
        <f t="shared" ca="1" si="2"/>
        <v>available</v>
      </c>
      <c r="I115" t="str">
        <f t="shared" ca="1" si="3"/>
        <v>(22,'brandy','bottle','beverage','brandy is a very nice food and beverage category that is categorized under beverage cuisine',10.7,3,'available'),</v>
      </c>
    </row>
    <row r="116" spans="1:9" x14ac:dyDescent="0.25">
      <c r="A116">
        <v>22</v>
      </c>
      <c r="B116" t="s">
        <v>273</v>
      </c>
      <c r="C116" t="s">
        <v>201</v>
      </c>
      <c r="D116" t="s">
        <v>116</v>
      </c>
      <c r="E116" t="s">
        <v>311</v>
      </c>
      <c r="F116">
        <v>5.6</v>
      </c>
      <c r="G116">
        <f ca="1">RANDBETWEEN(0,5)</f>
        <v>3</v>
      </c>
      <c r="H116" t="str">
        <f t="shared" ca="1" si="2"/>
        <v>available</v>
      </c>
      <c r="I116" t="str">
        <f t="shared" ca="1" si="3"/>
        <v>(22,'buckwheat','package','beverage','buckwheat is a very nice food and beverage category that is categorized under beverage cuisine',5.6,3,'available'),</v>
      </c>
    </row>
    <row r="117" spans="1:9" x14ac:dyDescent="0.25">
      <c r="A117">
        <v>22</v>
      </c>
      <c r="B117" t="s">
        <v>288</v>
      </c>
      <c r="C117" t="s">
        <v>200</v>
      </c>
      <c r="D117" t="s">
        <v>116</v>
      </c>
      <c r="E117" t="s">
        <v>369</v>
      </c>
      <c r="F117">
        <v>4</v>
      </c>
      <c r="G117">
        <f ca="1">RANDBETWEEN(0,5)</f>
        <v>2</v>
      </c>
      <c r="H117" t="str">
        <f t="shared" ca="1" si="2"/>
        <v>available</v>
      </c>
      <c r="I117" t="str">
        <f t="shared" ca="1" si="3"/>
        <v>(22,'fennel','can','beverage','fennel is a very nice food and beverage category that is categorized under beverage cuisine',4,2,'available'),</v>
      </c>
    </row>
    <row r="118" spans="1:9" x14ac:dyDescent="0.25">
      <c r="A118">
        <v>22</v>
      </c>
      <c r="B118" t="s">
        <v>212</v>
      </c>
      <c r="C118" t="s">
        <v>201</v>
      </c>
      <c r="D118" t="s">
        <v>113</v>
      </c>
      <c r="E118" t="s">
        <v>359</v>
      </c>
      <c r="F118">
        <v>6.2</v>
      </c>
      <c r="G118">
        <f ca="1">RANDBETWEEN(0,5)</f>
        <v>4</v>
      </c>
      <c r="H118" t="str">
        <f t="shared" ca="1" si="2"/>
        <v>available</v>
      </c>
      <c r="I118" t="str">
        <f t="shared" ca="1" si="3"/>
        <v>(22,'mussels','package','asian','mussels is a very nice food and beverage category that is categorized under asian cuisine',6.2,4,'available'),</v>
      </c>
    </row>
    <row r="119" spans="1:9" x14ac:dyDescent="0.25">
      <c r="A119">
        <v>22</v>
      </c>
      <c r="B119" t="s">
        <v>264</v>
      </c>
      <c r="C119" t="s">
        <v>200</v>
      </c>
      <c r="D119" t="s">
        <v>116</v>
      </c>
      <c r="E119" t="s">
        <v>366</v>
      </c>
      <c r="F119">
        <v>3.4</v>
      </c>
      <c r="G119">
        <f ca="1">RANDBETWEEN(0,5)</f>
        <v>1</v>
      </c>
      <c r="H119" t="str">
        <f t="shared" ca="1" si="2"/>
        <v>available</v>
      </c>
      <c r="I119" t="str">
        <f t="shared" ca="1" si="3"/>
        <v>(22,'tomato puree','can','beverage','tomato puree is a very nice food and beverage category that is categorized under beverage cuisine',3.4,1,'available'),</v>
      </c>
    </row>
    <row r="120" spans="1:9" x14ac:dyDescent="0.25">
      <c r="A120">
        <v>23</v>
      </c>
      <c r="B120" t="s">
        <v>233</v>
      </c>
      <c r="C120" t="s">
        <v>201</v>
      </c>
      <c r="D120" t="s">
        <v>112</v>
      </c>
      <c r="E120" t="s">
        <v>321</v>
      </c>
      <c r="F120">
        <v>2.9</v>
      </c>
      <c r="G120">
        <f ca="1">RANDBETWEEN(0,5)</f>
        <v>5</v>
      </c>
      <c r="H120" t="str">
        <f t="shared" ca="1" si="2"/>
        <v>available</v>
      </c>
      <c r="I120" t="str">
        <f t="shared" ca="1" si="3"/>
        <v>(23,'acorn squash','package','western','acorn squash is a very nice food and beverage category that is categorized under western cuisine',2.9,5,'available'),</v>
      </c>
    </row>
    <row r="121" spans="1:9" x14ac:dyDescent="0.25">
      <c r="A121">
        <v>23</v>
      </c>
      <c r="B121" t="s">
        <v>245</v>
      </c>
      <c r="C121" t="s">
        <v>201</v>
      </c>
      <c r="D121" t="s">
        <v>112</v>
      </c>
      <c r="E121" t="s">
        <v>346</v>
      </c>
      <c r="F121">
        <v>2.2999999999999998</v>
      </c>
      <c r="G121">
        <f ca="1">RANDBETWEEN(0,5)</f>
        <v>5</v>
      </c>
      <c r="H121" t="str">
        <f t="shared" ca="1" si="2"/>
        <v>available</v>
      </c>
      <c r="I121" t="str">
        <f t="shared" ca="1" si="3"/>
        <v>(23,'ale','package','western','ale is a very nice food and beverage category that is categorized under western cuisine',2.3,5,'available'),</v>
      </c>
    </row>
    <row r="122" spans="1:9" x14ac:dyDescent="0.25">
      <c r="A122">
        <v>23</v>
      </c>
      <c r="B122" t="s">
        <v>236</v>
      </c>
      <c r="C122" t="s">
        <v>200</v>
      </c>
      <c r="D122" t="s">
        <v>112</v>
      </c>
      <c r="E122" t="s">
        <v>312</v>
      </c>
      <c r="F122">
        <v>4.8</v>
      </c>
      <c r="G122">
        <f ca="1">RANDBETWEEN(0,5)</f>
        <v>1</v>
      </c>
      <c r="H122" t="str">
        <f t="shared" ca="1" si="2"/>
        <v>available</v>
      </c>
      <c r="I122" t="str">
        <f t="shared" ca="1" si="3"/>
        <v>(23,'bean threads','can','western','bean threads is a very nice food and beverage category that is categorized under western cuisine',4.8,1,'available'),</v>
      </c>
    </row>
    <row r="123" spans="1:9" x14ac:dyDescent="0.25">
      <c r="A123">
        <v>23</v>
      </c>
      <c r="B123" t="s">
        <v>260</v>
      </c>
      <c r="C123" t="s">
        <v>202</v>
      </c>
      <c r="D123" t="s">
        <v>112</v>
      </c>
      <c r="E123" t="s">
        <v>339</v>
      </c>
      <c r="F123">
        <v>1.5</v>
      </c>
      <c r="G123">
        <f ca="1">RANDBETWEEN(0,5)</f>
        <v>0</v>
      </c>
      <c r="H123" t="str">
        <f t="shared" ca="1" si="2"/>
        <v>available</v>
      </c>
      <c r="I123" t="str">
        <f t="shared" ca="1" si="3"/>
        <v>(23,'Canadian bacon','piece','western','Canadian bacon is a very nice food and beverage category that is categorized under western cuisine',1.5,0,'available'),</v>
      </c>
    </row>
    <row r="124" spans="1:9" x14ac:dyDescent="0.25">
      <c r="A124">
        <v>23</v>
      </c>
      <c r="B124" t="s">
        <v>257</v>
      </c>
      <c r="C124" t="s">
        <v>200</v>
      </c>
      <c r="D124" t="s">
        <v>112</v>
      </c>
      <c r="E124" t="s">
        <v>295</v>
      </c>
      <c r="F124">
        <v>2.2000000000000002</v>
      </c>
      <c r="G124">
        <f ca="1">RANDBETWEEN(0,5)</f>
        <v>1</v>
      </c>
      <c r="H124" t="str">
        <f t="shared" ca="1" si="2"/>
        <v>available</v>
      </c>
      <c r="I124" t="str">
        <f t="shared" ca="1" si="3"/>
        <v>(23,'cream of tartar','can','western','cream of tartar is a very nice food and beverage category that is categorized under western cuisine',2.2,1,'available'),</v>
      </c>
    </row>
    <row r="125" spans="1:9" x14ac:dyDescent="0.25">
      <c r="A125">
        <v>23</v>
      </c>
      <c r="B125" t="s">
        <v>239</v>
      </c>
      <c r="C125" t="s">
        <v>200</v>
      </c>
      <c r="D125" t="s">
        <v>112</v>
      </c>
      <c r="E125" t="s">
        <v>352</v>
      </c>
      <c r="F125">
        <v>3</v>
      </c>
      <c r="G125">
        <f ca="1">RANDBETWEEN(0,5)</f>
        <v>5</v>
      </c>
      <c r="H125" t="str">
        <f t="shared" ca="1" si="2"/>
        <v>available</v>
      </c>
      <c r="I125" t="str">
        <f t="shared" ca="1" si="3"/>
        <v>(23,'pasta','can','western','pasta is a very nice food and beverage category that is categorized under western cuisine',3,5,'available'),</v>
      </c>
    </row>
    <row r="126" spans="1:9" x14ac:dyDescent="0.25">
      <c r="A126">
        <v>23</v>
      </c>
      <c r="B126" t="s">
        <v>222</v>
      </c>
      <c r="C126" t="s">
        <v>201</v>
      </c>
      <c r="D126" t="s">
        <v>112</v>
      </c>
      <c r="E126" t="s">
        <v>338</v>
      </c>
      <c r="F126">
        <v>5</v>
      </c>
      <c r="G126">
        <f ca="1">RANDBETWEEN(0,5)</f>
        <v>1</v>
      </c>
      <c r="H126" t="str">
        <f t="shared" ca="1" si="2"/>
        <v>available</v>
      </c>
      <c r="I126" t="str">
        <f t="shared" ca="1" si="3"/>
        <v>(23,'spaghetti squash','package','western','spaghetti squash is a very nice food and beverage category that is categorized under western cuisine',5,1,'available'),</v>
      </c>
    </row>
    <row r="127" spans="1:9" x14ac:dyDescent="0.25">
      <c r="A127">
        <v>23</v>
      </c>
      <c r="B127" t="s">
        <v>264</v>
      </c>
      <c r="C127" t="s">
        <v>200</v>
      </c>
      <c r="D127" t="s">
        <v>116</v>
      </c>
      <c r="E127" t="s">
        <v>366</v>
      </c>
      <c r="F127">
        <v>3.4</v>
      </c>
      <c r="G127">
        <f ca="1">RANDBETWEEN(0,5)</f>
        <v>0</v>
      </c>
      <c r="H127" t="str">
        <f t="shared" ca="1" si="2"/>
        <v>available</v>
      </c>
      <c r="I127" t="str">
        <f t="shared" ca="1" si="3"/>
        <v>(23,'tomato puree','can','beverage','tomato puree is a very nice food and beverage category that is categorized under beverage cuisine',3.4,0,'available'),</v>
      </c>
    </row>
    <row r="128" spans="1:9" x14ac:dyDescent="0.25">
      <c r="A128">
        <v>24</v>
      </c>
      <c r="B128" t="s">
        <v>236</v>
      </c>
      <c r="C128" t="s">
        <v>200</v>
      </c>
      <c r="D128" t="s">
        <v>112</v>
      </c>
      <c r="E128" t="s">
        <v>312</v>
      </c>
      <c r="F128">
        <v>4.8</v>
      </c>
      <c r="G128">
        <f ca="1">RANDBETWEEN(0,5)</f>
        <v>0</v>
      </c>
      <c r="H128" t="str">
        <f t="shared" ca="1" si="2"/>
        <v>available</v>
      </c>
      <c r="I128" t="str">
        <f t="shared" ca="1" si="3"/>
        <v>(24,'bean threads','can','western','bean threads is a very nice food and beverage category that is categorized under western cuisine',4.8,0,'available'),</v>
      </c>
    </row>
    <row r="129" spans="1:9" x14ac:dyDescent="0.25">
      <c r="A129">
        <v>24</v>
      </c>
      <c r="B129" t="s">
        <v>257</v>
      </c>
      <c r="C129" t="s">
        <v>200</v>
      </c>
      <c r="D129" t="s">
        <v>112</v>
      </c>
      <c r="E129" t="s">
        <v>295</v>
      </c>
      <c r="F129">
        <v>2.2000000000000002</v>
      </c>
      <c r="G129">
        <f ca="1">RANDBETWEEN(0,5)</f>
        <v>1</v>
      </c>
      <c r="H129" t="str">
        <f t="shared" ca="1" si="2"/>
        <v>available</v>
      </c>
      <c r="I129" t="str">
        <f t="shared" ca="1" si="3"/>
        <v>(24,'cream of tartar','can','western','cream of tartar is a very nice food and beverage category that is categorized under western cuisine',2.2,1,'available'),</v>
      </c>
    </row>
    <row r="130" spans="1:9" x14ac:dyDescent="0.25">
      <c r="A130">
        <v>24</v>
      </c>
      <c r="B130" t="s">
        <v>243</v>
      </c>
      <c r="C130" t="s">
        <v>201</v>
      </c>
      <c r="D130" t="s">
        <v>112</v>
      </c>
      <c r="E130" t="s">
        <v>323</v>
      </c>
      <c r="F130">
        <v>2.2000000000000002</v>
      </c>
      <c r="G130">
        <f ca="1">RANDBETWEEN(0,5)</f>
        <v>3</v>
      </c>
      <c r="H130" t="str">
        <f t="shared" ca="1" si="2"/>
        <v>available</v>
      </c>
      <c r="I130" t="str">
        <f t="shared" ca="1" si="3"/>
        <v>(24,'french fries','package','western','french fries is a very nice food and beverage category that is categorized under western cuisine',2.2,3,'available'),</v>
      </c>
    </row>
    <row r="131" spans="1:9" x14ac:dyDescent="0.25">
      <c r="A131">
        <v>24</v>
      </c>
      <c r="B131" t="s">
        <v>235</v>
      </c>
      <c r="C131" t="s">
        <v>202</v>
      </c>
      <c r="D131" t="s">
        <v>112</v>
      </c>
      <c r="E131" t="s">
        <v>336</v>
      </c>
      <c r="F131">
        <v>3.1</v>
      </c>
      <c r="G131">
        <f ca="1">RANDBETWEEN(0,5)</f>
        <v>0</v>
      </c>
      <c r="H131" t="str">
        <f t="shared" ref="H131:H194" ca="1" si="4">IF(RAND()&lt;0.01,"unavailable","available")</f>
        <v>available</v>
      </c>
      <c r="I131" t="str">
        <f t="shared" ref="I131:I194" ca="1" si="5">SqlGenerator(A131:H131)</f>
        <v>(24,'garlic','piece','western','garlic is a very nice food and beverage category that is categorized under western cuisine',3.1,0,'available'),</v>
      </c>
    </row>
    <row r="132" spans="1:9" x14ac:dyDescent="0.25">
      <c r="A132">
        <v>24</v>
      </c>
      <c r="B132" t="s">
        <v>234</v>
      </c>
      <c r="C132" t="s">
        <v>202</v>
      </c>
      <c r="D132" t="s">
        <v>112</v>
      </c>
      <c r="E132" t="s">
        <v>320</v>
      </c>
      <c r="F132">
        <v>1.1000000000000001</v>
      </c>
      <c r="G132">
        <f ca="1">RANDBETWEEN(0,5)</f>
        <v>2</v>
      </c>
      <c r="H132" t="str">
        <f t="shared" ca="1" si="4"/>
        <v>available</v>
      </c>
      <c r="I132" t="str">
        <f t="shared" ca="1" si="5"/>
        <v>(24,'hamburger','piece','western','hamburger is a very nice food and beverage category that is categorized under western cuisine',1.1,2,'available'),</v>
      </c>
    </row>
    <row r="133" spans="1:9" x14ac:dyDescent="0.25">
      <c r="A133">
        <v>24</v>
      </c>
      <c r="B133" t="s">
        <v>241</v>
      </c>
      <c r="C133" t="s">
        <v>201</v>
      </c>
      <c r="D133" t="s">
        <v>112</v>
      </c>
      <c r="E133" t="s">
        <v>349</v>
      </c>
      <c r="F133">
        <v>4.5999999999999996</v>
      </c>
      <c r="G133">
        <f ca="1">RANDBETWEEN(0,5)</f>
        <v>2</v>
      </c>
      <c r="H133" t="str">
        <f t="shared" ca="1" si="4"/>
        <v>available</v>
      </c>
      <c r="I133" t="str">
        <f t="shared" ca="1" si="5"/>
        <v>(24,'hash browns','package','western','hash browns is a very nice food and beverage category that is categorized under western cuisine',4.6,2,'available'),</v>
      </c>
    </row>
    <row r="134" spans="1:9" x14ac:dyDescent="0.25">
      <c r="A134">
        <v>24</v>
      </c>
      <c r="B134" t="s">
        <v>244</v>
      </c>
      <c r="C134" t="s">
        <v>202</v>
      </c>
      <c r="D134" t="s">
        <v>112</v>
      </c>
      <c r="E134" t="s">
        <v>353</v>
      </c>
      <c r="F134">
        <v>5</v>
      </c>
      <c r="G134">
        <f ca="1">RANDBETWEEN(0,5)</f>
        <v>2</v>
      </c>
      <c r="H134" t="str">
        <f t="shared" ca="1" si="4"/>
        <v>available</v>
      </c>
      <c r="I134" t="str">
        <f t="shared" ca="1" si="5"/>
        <v>(24,'lobsters','piece','western','lobsters is a very nice food and beverage category that is categorized under western cuisine',5,2,'available'),</v>
      </c>
    </row>
    <row r="135" spans="1:9" x14ac:dyDescent="0.25">
      <c r="A135">
        <v>24</v>
      </c>
      <c r="B135" t="s">
        <v>222</v>
      </c>
      <c r="C135" t="s">
        <v>201</v>
      </c>
      <c r="D135" t="s">
        <v>112</v>
      </c>
      <c r="E135" t="s">
        <v>338</v>
      </c>
      <c r="F135">
        <v>5</v>
      </c>
      <c r="G135">
        <f ca="1">RANDBETWEEN(0,5)</f>
        <v>3</v>
      </c>
      <c r="H135" t="str">
        <f t="shared" ca="1" si="4"/>
        <v>available</v>
      </c>
      <c r="I135" t="str">
        <f t="shared" ca="1" si="5"/>
        <v>(24,'spaghetti squash','package','western','spaghetti squash is a very nice food and beverage category that is categorized under western cuisine',5,3,'available'),</v>
      </c>
    </row>
    <row r="136" spans="1:9" x14ac:dyDescent="0.25">
      <c r="A136">
        <v>25</v>
      </c>
      <c r="B136" t="s">
        <v>217</v>
      </c>
      <c r="C136" t="s">
        <v>203</v>
      </c>
      <c r="D136" t="s">
        <v>113</v>
      </c>
      <c r="E136" t="s">
        <v>296</v>
      </c>
      <c r="F136">
        <v>5.4</v>
      </c>
      <c r="G136">
        <f ca="1">RANDBETWEEN(0,5)</f>
        <v>1</v>
      </c>
      <c r="H136" t="str">
        <f t="shared" ca="1" si="4"/>
        <v>available</v>
      </c>
      <c r="I136" t="str">
        <f t="shared" ca="1" si="5"/>
        <v>(25,'borscht','bottle','asian','borscht is a very nice food and beverage category that is categorized under asian cuisine',5.4,1,'available'),</v>
      </c>
    </row>
    <row r="137" spans="1:9" x14ac:dyDescent="0.25">
      <c r="A137">
        <v>25</v>
      </c>
      <c r="B137" t="s">
        <v>218</v>
      </c>
      <c r="C137" t="s">
        <v>200</v>
      </c>
      <c r="D137" t="s">
        <v>113</v>
      </c>
      <c r="E137" t="s">
        <v>344</v>
      </c>
      <c r="F137">
        <v>5.0999999999999996</v>
      </c>
      <c r="G137">
        <f ca="1">RANDBETWEEN(0,5)</f>
        <v>3</v>
      </c>
      <c r="H137" t="str">
        <f t="shared" ca="1" si="4"/>
        <v>available</v>
      </c>
      <c r="I137" t="str">
        <f t="shared" ca="1" si="5"/>
        <v>(25,'corn','can','asian','corn is a very nice food and beverage category that is categorized under asian cuisine',5.1,3,'available'),</v>
      </c>
    </row>
    <row r="138" spans="1:9" x14ac:dyDescent="0.25">
      <c r="A138">
        <v>25</v>
      </c>
      <c r="B138" t="s">
        <v>266</v>
      </c>
      <c r="C138" t="s">
        <v>200</v>
      </c>
      <c r="D138" t="s">
        <v>113</v>
      </c>
      <c r="E138" t="s">
        <v>310</v>
      </c>
      <c r="F138">
        <v>2.1</v>
      </c>
      <c r="G138">
        <f ca="1">RANDBETWEEN(0,5)</f>
        <v>4</v>
      </c>
      <c r="H138" t="str">
        <f t="shared" ca="1" si="4"/>
        <v>available</v>
      </c>
      <c r="I138" t="str">
        <f t="shared" ca="1" si="5"/>
        <v>(25,'cornmeal','can','asian','cornmeal is a very nice food and beverage category that is categorized under asian cuisine',2.1,4,'available'),</v>
      </c>
    </row>
    <row r="139" spans="1:9" x14ac:dyDescent="0.25">
      <c r="A139">
        <v>25</v>
      </c>
      <c r="B139" t="s">
        <v>216</v>
      </c>
      <c r="C139" t="s">
        <v>200</v>
      </c>
      <c r="D139" t="s">
        <v>113</v>
      </c>
      <c r="E139" t="s">
        <v>343</v>
      </c>
      <c r="F139">
        <v>2</v>
      </c>
      <c r="G139">
        <f ca="1">RANDBETWEEN(0,5)</f>
        <v>2</v>
      </c>
      <c r="H139" t="str">
        <f t="shared" ca="1" si="4"/>
        <v>available</v>
      </c>
      <c r="I139" t="str">
        <f t="shared" ca="1" si="5"/>
        <v>(25,'gelatin','can','asian','gelatin is a very nice food and beverage category that is categorized under asian cuisine',2,2,'available'),</v>
      </c>
    </row>
    <row r="140" spans="1:9" x14ac:dyDescent="0.25">
      <c r="A140">
        <v>25</v>
      </c>
      <c r="B140" t="s">
        <v>210</v>
      </c>
      <c r="C140" t="s">
        <v>201</v>
      </c>
      <c r="D140" t="s">
        <v>113</v>
      </c>
      <c r="E140" t="s">
        <v>363</v>
      </c>
      <c r="F140">
        <v>4.5999999999999996</v>
      </c>
      <c r="G140">
        <f ca="1">RANDBETWEEN(0,5)</f>
        <v>4</v>
      </c>
      <c r="H140" t="str">
        <f t="shared" ca="1" si="4"/>
        <v>available</v>
      </c>
      <c r="I140" t="str">
        <f t="shared" ca="1" si="5"/>
        <v>(25,'leeks','package','asian','leeks is a very nice food and beverage category that is categorized under asian cuisine',4.6,4,'available'),</v>
      </c>
    </row>
    <row r="141" spans="1:9" x14ac:dyDescent="0.25">
      <c r="A141">
        <v>25</v>
      </c>
      <c r="B141" t="s">
        <v>211</v>
      </c>
      <c r="C141" t="s">
        <v>201</v>
      </c>
      <c r="D141" t="s">
        <v>113</v>
      </c>
      <c r="E141" t="s">
        <v>358</v>
      </c>
      <c r="F141">
        <v>2.6</v>
      </c>
      <c r="G141">
        <f ca="1">RANDBETWEEN(0,5)</f>
        <v>2</v>
      </c>
      <c r="H141" t="str">
        <f t="shared" ca="1" si="4"/>
        <v>available</v>
      </c>
      <c r="I141" t="str">
        <f t="shared" ca="1" si="5"/>
        <v>(25,'lettuce','package','asian','lettuce is a very nice food and beverage category that is categorized under asian cuisine',2.6,2,'available'),</v>
      </c>
    </row>
    <row r="142" spans="1:9" x14ac:dyDescent="0.25">
      <c r="A142">
        <v>25</v>
      </c>
      <c r="B142" t="s">
        <v>215</v>
      </c>
      <c r="C142" t="s">
        <v>202</v>
      </c>
      <c r="D142" t="s">
        <v>113</v>
      </c>
      <c r="E142" t="s">
        <v>347</v>
      </c>
      <c r="F142">
        <v>4.5</v>
      </c>
      <c r="G142">
        <f ca="1">RANDBETWEEN(0,5)</f>
        <v>4</v>
      </c>
      <c r="H142" t="str">
        <f t="shared" ca="1" si="4"/>
        <v>available</v>
      </c>
      <c r="I142" t="str">
        <f t="shared" ca="1" si="5"/>
        <v>(25,'liver','piece','asian','liver is a very nice food and beverage category that is categorized under asian cuisine',4.5,4,'available'),</v>
      </c>
    </row>
    <row r="143" spans="1:9" x14ac:dyDescent="0.25">
      <c r="A143">
        <v>25</v>
      </c>
      <c r="B143" t="s">
        <v>244</v>
      </c>
      <c r="C143" t="s">
        <v>202</v>
      </c>
      <c r="D143" t="s">
        <v>112</v>
      </c>
      <c r="E143" t="s">
        <v>353</v>
      </c>
      <c r="F143">
        <v>5</v>
      </c>
      <c r="G143">
        <f ca="1">RANDBETWEEN(0,5)</f>
        <v>1</v>
      </c>
      <c r="H143" t="str">
        <f t="shared" ca="1" si="4"/>
        <v>available</v>
      </c>
      <c r="I143" t="str">
        <f t="shared" ca="1" si="5"/>
        <v>(25,'lobsters','piece','western','lobsters is a very nice food and beverage category that is categorized under western cuisine',5,1,'available'),</v>
      </c>
    </row>
    <row r="144" spans="1:9" x14ac:dyDescent="0.25">
      <c r="A144">
        <v>26</v>
      </c>
      <c r="B144" t="s">
        <v>233</v>
      </c>
      <c r="C144" t="s">
        <v>201</v>
      </c>
      <c r="D144" t="s">
        <v>112</v>
      </c>
      <c r="E144" t="s">
        <v>321</v>
      </c>
      <c r="F144">
        <v>2.9</v>
      </c>
      <c r="G144">
        <f ca="1">RANDBETWEEN(0,5)</f>
        <v>0</v>
      </c>
      <c r="H144" t="str">
        <f t="shared" ca="1" si="4"/>
        <v>available</v>
      </c>
      <c r="I144" t="str">
        <f t="shared" ca="1" si="5"/>
        <v>(26,'acorn squash','package','western','acorn squash is a very nice food and beverage category that is categorized under western cuisine',2.9,0,'available'),</v>
      </c>
    </row>
    <row r="145" spans="1:9" x14ac:dyDescent="0.25">
      <c r="A145">
        <v>26</v>
      </c>
      <c r="B145" t="s">
        <v>260</v>
      </c>
      <c r="C145" t="s">
        <v>202</v>
      </c>
      <c r="D145" t="s">
        <v>112</v>
      </c>
      <c r="E145" t="s">
        <v>339</v>
      </c>
      <c r="F145">
        <v>1.5</v>
      </c>
      <c r="G145">
        <f ca="1">RANDBETWEEN(0,5)</f>
        <v>1</v>
      </c>
      <c r="H145" t="str">
        <f t="shared" ca="1" si="4"/>
        <v>available</v>
      </c>
      <c r="I145" t="str">
        <f t="shared" ca="1" si="5"/>
        <v>(26,'Canadian bacon','piece','western','Canadian bacon is a very nice food and beverage category that is categorized under western cuisine',1.5,1,'available'),</v>
      </c>
    </row>
    <row r="146" spans="1:9" x14ac:dyDescent="0.25">
      <c r="A146">
        <v>26</v>
      </c>
      <c r="B146" t="s">
        <v>253</v>
      </c>
      <c r="C146" t="s">
        <v>200</v>
      </c>
      <c r="D146" t="s">
        <v>112</v>
      </c>
      <c r="E146" t="s">
        <v>314</v>
      </c>
      <c r="F146">
        <v>5.0999999999999996</v>
      </c>
      <c r="G146">
        <f ca="1">RANDBETWEEN(0,5)</f>
        <v>5</v>
      </c>
      <c r="H146" t="str">
        <f t="shared" ca="1" si="4"/>
        <v>available</v>
      </c>
      <c r="I146" t="str">
        <f t="shared" ca="1" si="5"/>
        <v>(26,'corned beef','can','western','corned beef is a very nice food and beverage category that is categorized under western cuisine',5.1,5,'available'),</v>
      </c>
    </row>
    <row r="147" spans="1:9" x14ac:dyDescent="0.25">
      <c r="A147">
        <v>26</v>
      </c>
      <c r="B147" t="s">
        <v>257</v>
      </c>
      <c r="C147" t="s">
        <v>200</v>
      </c>
      <c r="D147" t="s">
        <v>112</v>
      </c>
      <c r="E147" t="s">
        <v>295</v>
      </c>
      <c r="F147">
        <v>2.2000000000000002</v>
      </c>
      <c r="G147">
        <f ca="1">RANDBETWEEN(0,5)</f>
        <v>1</v>
      </c>
      <c r="H147" t="str">
        <f t="shared" ca="1" si="4"/>
        <v>available</v>
      </c>
      <c r="I147" t="str">
        <f t="shared" ca="1" si="5"/>
        <v>(26,'cream of tartar','can','western','cream of tartar is a very nice food and beverage category that is categorized under western cuisine',2.2,1,'available'),</v>
      </c>
    </row>
    <row r="148" spans="1:9" x14ac:dyDescent="0.25">
      <c r="A148">
        <v>26</v>
      </c>
      <c r="B148" t="s">
        <v>220</v>
      </c>
      <c r="C148" t="s">
        <v>200</v>
      </c>
      <c r="D148" t="s">
        <v>112</v>
      </c>
      <c r="E148" t="s">
        <v>350</v>
      </c>
      <c r="F148">
        <v>3.7</v>
      </c>
      <c r="G148">
        <f ca="1">RANDBETWEEN(0,5)</f>
        <v>1</v>
      </c>
      <c r="H148" t="str">
        <f t="shared" ca="1" si="4"/>
        <v>available</v>
      </c>
      <c r="I148" t="str">
        <f t="shared" ca="1" si="5"/>
        <v>(26,'poppy seeds','can','western','poppy seeds is a very nice food and beverage category that is categorized under western cuisine',3.7,1,'available'),</v>
      </c>
    </row>
    <row r="149" spans="1:9" x14ac:dyDescent="0.25">
      <c r="A149">
        <v>26</v>
      </c>
      <c r="B149" t="s">
        <v>270</v>
      </c>
      <c r="C149" t="s">
        <v>202</v>
      </c>
      <c r="D149" t="s">
        <v>113</v>
      </c>
      <c r="E149" t="s">
        <v>313</v>
      </c>
      <c r="F149">
        <v>5.8</v>
      </c>
      <c r="G149">
        <f ca="1">RANDBETWEEN(0,5)</f>
        <v>5</v>
      </c>
      <c r="H149" t="str">
        <f t="shared" ca="1" si="4"/>
        <v>available</v>
      </c>
      <c r="I149" t="str">
        <f t="shared" ca="1" si="5"/>
        <v>(26,'salmon','piece','asian','salmon is a very nice food and beverage category that is categorized under asian cuisine',5.8,5,'available'),</v>
      </c>
    </row>
    <row r="150" spans="1:9" x14ac:dyDescent="0.25">
      <c r="A150">
        <v>27</v>
      </c>
      <c r="B150" t="s">
        <v>233</v>
      </c>
      <c r="C150" t="s">
        <v>201</v>
      </c>
      <c r="D150" t="s">
        <v>112</v>
      </c>
      <c r="E150" t="s">
        <v>321</v>
      </c>
      <c r="F150">
        <v>2.9</v>
      </c>
      <c r="G150">
        <f ca="1">RANDBETWEEN(0,5)</f>
        <v>2</v>
      </c>
      <c r="H150" t="str">
        <f t="shared" ca="1" si="4"/>
        <v>available</v>
      </c>
      <c r="I150" t="str">
        <f t="shared" ca="1" si="5"/>
        <v>(27,'acorn squash','package','western','acorn squash is a very nice food and beverage category that is categorized under western cuisine',2.9,2,'available'),</v>
      </c>
    </row>
    <row r="151" spans="1:9" x14ac:dyDescent="0.25">
      <c r="A151">
        <v>27</v>
      </c>
      <c r="B151" t="s">
        <v>245</v>
      </c>
      <c r="C151" t="s">
        <v>201</v>
      </c>
      <c r="D151" t="s">
        <v>112</v>
      </c>
      <c r="E151" t="s">
        <v>346</v>
      </c>
      <c r="F151">
        <v>2.2999999999999998</v>
      </c>
      <c r="G151">
        <f ca="1">RANDBETWEEN(0,5)</f>
        <v>4</v>
      </c>
      <c r="H151" t="str">
        <f t="shared" ca="1" si="4"/>
        <v>available</v>
      </c>
      <c r="I151" t="str">
        <f t="shared" ca="1" si="5"/>
        <v>(27,'ale','package','western','ale is a very nice food and beverage category that is categorized under western cuisine',2.3,4,'available'),</v>
      </c>
    </row>
    <row r="152" spans="1:9" x14ac:dyDescent="0.25">
      <c r="A152">
        <v>27</v>
      </c>
      <c r="B152" t="s">
        <v>257</v>
      </c>
      <c r="C152" t="s">
        <v>200</v>
      </c>
      <c r="D152" t="s">
        <v>112</v>
      </c>
      <c r="E152" t="s">
        <v>295</v>
      </c>
      <c r="F152">
        <v>2.2000000000000002</v>
      </c>
      <c r="G152">
        <f ca="1">RANDBETWEEN(0,5)</f>
        <v>4</v>
      </c>
      <c r="H152" t="str">
        <f t="shared" ca="1" si="4"/>
        <v>available</v>
      </c>
      <c r="I152" t="str">
        <f t="shared" ca="1" si="5"/>
        <v>(27,'cream of tartar','can','western','cream of tartar is a very nice food and beverage category that is categorized under western cuisine',2.2,4,'available'),</v>
      </c>
    </row>
    <row r="153" spans="1:9" x14ac:dyDescent="0.25">
      <c r="A153">
        <v>27</v>
      </c>
      <c r="B153" t="s">
        <v>235</v>
      </c>
      <c r="C153" t="s">
        <v>202</v>
      </c>
      <c r="D153" t="s">
        <v>112</v>
      </c>
      <c r="E153" t="s">
        <v>336</v>
      </c>
      <c r="F153">
        <v>3.1</v>
      </c>
      <c r="G153">
        <f ca="1">RANDBETWEEN(0,5)</f>
        <v>0</v>
      </c>
      <c r="H153" t="str">
        <f t="shared" ca="1" si="4"/>
        <v>available</v>
      </c>
      <c r="I153" t="str">
        <f t="shared" ca="1" si="5"/>
        <v>(27,'garlic','piece','western','garlic is a very nice food and beverage category that is categorized under western cuisine',3.1,0,'available'),</v>
      </c>
    </row>
    <row r="154" spans="1:9" x14ac:dyDescent="0.25">
      <c r="A154">
        <v>27</v>
      </c>
      <c r="B154" t="s">
        <v>234</v>
      </c>
      <c r="C154" t="s">
        <v>202</v>
      </c>
      <c r="D154" t="s">
        <v>112</v>
      </c>
      <c r="E154" t="s">
        <v>320</v>
      </c>
      <c r="F154">
        <v>1.1000000000000001</v>
      </c>
      <c r="G154">
        <f ca="1">RANDBETWEEN(0,5)</f>
        <v>3</v>
      </c>
      <c r="H154" t="str">
        <f t="shared" ca="1" si="4"/>
        <v>available</v>
      </c>
      <c r="I154" t="str">
        <f t="shared" ca="1" si="5"/>
        <v>(27,'hamburger','piece','western','hamburger is a very nice food and beverage category that is categorized under western cuisine',1.1,3,'available'),</v>
      </c>
    </row>
    <row r="155" spans="1:9" x14ac:dyDescent="0.25">
      <c r="A155">
        <v>27</v>
      </c>
      <c r="B155" t="s">
        <v>265</v>
      </c>
      <c r="C155" t="s">
        <v>202</v>
      </c>
      <c r="D155" t="s">
        <v>112</v>
      </c>
      <c r="E155" t="s">
        <v>315</v>
      </c>
      <c r="F155">
        <v>4.5</v>
      </c>
      <c r="G155">
        <f ca="1">RANDBETWEEN(0,5)</f>
        <v>5</v>
      </c>
      <c r="H155" t="str">
        <f t="shared" ca="1" si="4"/>
        <v>available</v>
      </c>
      <c r="I155" t="str">
        <f t="shared" ca="1" si="5"/>
        <v>(27,'steak','piece','western','steak is a very nice food and beverage category that is categorized under western cuisine',4.5,5,'available'),</v>
      </c>
    </row>
    <row r="156" spans="1:9" x14ac:dyDescent="0.25">
      <c r="A156">
        <v>28</v>
      </c>
      <c r="B156" t="s">
        <v>258</v>
      </c>
      <c r="C156" t="s">
        <v>201</v>
      </c>
      <c r="D156" t="s">
        <v>114</v>
      </c>
      <c r="E156" t="s">
        <v>298</v>
      </c>
      <c r="F156">
        <v>2.2000000000000002</v>
      </c>
      <c r="G156">
        <f ca="1">RANDBETWEEN(0,5)</f>
        <v>3</v>
      </c>
      <c r="H156" t="str">
        <f t="shared" ca="1" si="4"/>
        <v>available</v>
      </c>
      <c r="I156" t="str">
        <f t="shared" ca="1" si="5"/>
        <v>(28,'colby cheese','package','fusion','colby cheese is a very nice food and beverage category that is categorized under fusion cuisine',2.2,3,'available'),</v>
      </c>
    </row>
    <row r="157" spans="1:9" x14ac:dyDescent="0.25">
      <c r="A157">
        <v>28</v>
      </c>
      <c r="B157" t="s">
        <v>271</v>
      </c>
      <c r="C157" t="s">
        <v>201</v>
      </c>
      <c r="D157" t="s">
        <v>114</v>
      </c>
      <c r="E157" t="s">
        <v>307</v>
      </c>
      <c r="F157">
        <v>2.2000000000000002</v>
      </c>
      <c r="G157">
        <f ca="1">RANDBETWEEN(0,5)</f>
        <v>3</v>
      </c>
      <c r="H157" t="str">
        <f t="shared" ca="1" si="4"/>
        <v>available</v>
      </c>
      <c r="I157" t="str">
        <f t="shared" ca="1" si="5"/>
        <v>(28,'cream cheese','package','fusion','cream cheese is a very nice food and beverage category that is categorized under fusion cuisine',2.2,3,'available'),</v>
      </c>
    </row>
    <row r="158" spans="1:9" x14ac:dyDescent="0.25">
      <c r="A158">
        <v>28</v>
      </c>
      <c r="B158" t="s">
        <v>262</v>
      </c>
      <c r="C158" t="s">
        <v>201</v>
      </c>
      <c r="D158" t="s">
        <v>114</v>
      </c>
      <c r="E158" t="s">
        <v>309</v>
      </c>
      <c r="F158">
        <v>1.7</v>
      </c>
      <c r="G158">
        <f ca="1">RANDBETWEEN(0,5)</f>
        <v>4</v>
      </c>
      <c r="H158" t="str">
        <f t="shared" ca="1" si="4"/>
        <v>available</v>
      </c>
      <c r="I158" t="str">
        <f t="shared" ca="1" si="5"/>
        <v>(28,'feta cheese','package','fusion','feta cheese is a very nice food and beverage category that is categorized under fusion cuisine',1.7,4,'available'),</v>
      </c>
    </row>
    <row r="159" spans="1:9" x14ac:dyDescent="0.25">
      <c r="A159">
        <v>28</v>
      </c>
      <c r="B159" t="s">
        <v>249</v>
      </c>
      <c r="C159" t="s">
        <v>200</v>
      </c>
      <c r="D159" t="s">
        <v>114</v>
      </c>
      <c r="E159" t="s">
        <v>361</v>
      </c>
      <c r="F159">
        <v>1</v>
      </c>
      <c r="G159">
        <f ca="1">RANDBETWEEN(0,5)</f>
        <v>1</v>
      </c>
      <c r="H159" t="str">
        <f t="shared" ca="1" si="4"/>
        <v>available</v>
      </c>
      <c r="I159" t="str">
        <f t="shared" ca="1" si="5"/>
        <v>(28,'hot sauce','can','fusion','hot sauce is a very nice food and beverage category that is categorized under fusion cuisine',1,1,'available'),</v>
      </c>
    </row>
    <row r="160" spans="1:9" x14ac:dyDescent="0.25">
      <c r="A160">
        <v>28</v>
      </c>
      <c r="B160" t="s">
        <v>254</v>
      </c>
      <c r="C160" t="s">
        <v>201</v>
      </c>
      <c r="D160" t="s">
        <v>114</v>
      </c>
      <c r="E160" t="s">
        <v>316</v>
      </c>
      <c r="F160">
        <v>1.2</v>
      </c>
      <c r="G160">
        <f ca="1">RANDBETWEEN(0,5)</f>
        <v>2</v>
      </c>
      <c r="H160" t="str">
        <f t="shared" ca="1" si="4"/>
        <v>available</v>
      </c>
      <c r="I160" t="str">
        <f t="shared" ca="1" si="5"/>
        <v>(28,'provolone','package','fusion','provolone is a very nice food and beverage category that is categorized under fusion cuisine',1.2,2,'available'),</v>
      </c>
    </row>
    <row r="161" spans="1:9" x14ac:dyDescent="0.25">
      <c r="A161">
        <v>28</v>
      </c>
      <c r="B161" t="s">
        <v>228</v>
      </c>
      <c r="C161" t="s">
        <v>201</v>
      </c>
      <c r="D161" t="s">
        <v>114</v>
      </c>
      <c r="E161" t="s">
        <v>319</v>
      </c>
      <c r="F161">
        <v>2</v>
      </c>
      <c r="G161">
        <f ca="1">RANDBETWEEN(0,5)</f>
        <v>5</v>
      </c>
      <c r="H161" t="str">
        <f t="shared" ca="1" si="4"/>
        <v>available</v>
      </c>
      <c r="I161" t="str">
        <f t="shared" ca="1" si="5"/>
        <v>(28,'red pepper flakes','package','fusion','red pepper flakes is a very nice food and beverage category that is categorized under fusion cuisine',2,5,'available'),</v>
      </c>
    </row>
    <row r="162" spans="1:9" x14ac:dyDescent="0.25">
      <c r="A162">
        <v>28</v>
      </c>
      <c r="B162" t="s">
        <v>265</v>
      </c>
      <c r="C162" t="s">
        <v>202</v>
      </c>
      <c r="D162" t="s">
        <v>112</v>
      </c>
      <c r="E162" t="s">
        <v>315</v>
      </c>
      <c r="F162">
        <v>4.5</v>
      </c>
      <c r="G162">
        <f ca="1">RANDBETWEEN(0,5)</f>
        <v>1</v>
      </c>
      <c r="H162" t="str">
        <f t="shared" ca="1" si="4"/>
        <v>available</v>
      </c>
      <c r="I162" t="str">
        <f t="shared" ca="1" si="5"/>
        <v>(28,'steak','piece','western','steak is a very nice food and beverage category that is categorized under western cuisine',4.5,1,'available'),</v>
      </c>
    </row>
    <row r="163" spans="1:9" x14ac:dyDescent="0.25">
      <c r="A163">
        <v>29</v>
      </c>
      <c r="B163" t="s">
        <v>258</v>
      </c>
      <c r="C163" t="s">
        <v>201</v>
      </c>
      <c r="D163" t="s">
        <v>114</v>
      </c>
      <c r="E163" t="s">
        <v>298</v>
      </c>
      <c r="F163">
        <v>2.2000000000000002</v>
      </c>
      <c r="G163">
        <f ca="1">RANDBETWEEN(0,5)</f>
        <v>5</v>
      </c>
      <c r="H163" t="str">
        <f t="shared" ca="1" si="4"/>
        <v>available</v>
      </c>
      <c r="I163" t="str">
        <f t="shared" ca="1" si="5"/>
        <v>(29,'colby cheese','package','fusion','colby cheese is a very nice food and beverage category that is categorized under fusion cuisine',2.2,5,'available'),</v>
      </c>
    </row>
    <row r="164" spans="1:9" x14ac:dyDescent="0.25">
      <c r="A164">
        <v>29</v>
      </c>
      <c r="B164" t="s">
        <v>248</v>
      </c>
      <c r="C164" t="s">
        <v>200</v>
      </c>
      <c r="D164" t="s">
        <v>114</v>
      </c>
      <c r="E164" t="s">
        <v>297</v>
      </c>
      <c r="F164">
        <v>1.5</v>
      </c>
      <c r="G164">
        <f ca="1">RANDBETWEEN(0,5)</f>
        <v>2</v>
      </c>
      <c r="H164" t="str">
        <f t="shared" ca="1" si="4"/>
        <v>available</v>
      </c>
      <c r="I164" t="str">
        <f t="shared" ca="1" si="5"/>
        <v>(29,'coriander','can','fusion','coriander is a very nice food and beverage category that is categorized under fusion cuisine',1.5,2,'available'),</v>
      </c>
    </row>
    <row r="165" spans="1:9" x14ac:dyDescent="0.25">
      <c r="A165">
        <v>29</v>
      </c>
      <c r="B165" t="s">
        <v>267</v>
      </c>
      <c r="C165" t="s">
        <v>201</v>
      </c>
      <c r="D165" t="s">
        <v>114</v>
      </c>
      <c r="E165" t="s">
        <v>331</v>
      </c>
      <c r="F165">
        <v>3.1</v>
      </c>
      <c r="G165">
        <f ca="1">RANDBETWEEN(0,5)</f>
        <v>0</v>
      </c>
      <c r="H165" t="str">
        <f t="shared" ca="1" si="4"/>
        <v>available</v>
      </c>
      <c r="I165" t="str">
        <f t="shared" ca="1" si="5"/>
        <v>(29,'cottage cheese','package','fusion','cottage cheese is a very nice food and beverage category that is categorized under fusion cuisine',3.1,0,'available'),</v>
      </c>
    </row>
    <row r="166" spans="1:9" x14ac:dyDescent="0.25">
      <c r="A166">
        <v>29</v>
      </c>
      <c r="B166" t="s">
        <v>249</v>
      </c>
      <c r="C166" t="s">
        <v>200</v>
      </c>
      <c r="D166" t="s">
        <v>114</v>
      </c>
      <c r="E166" t="s">
        <v>361</v>
      </c>
      <c r="F166">
        <v>1</v>
      </c>
      <c r="G166">
        <f ca="1">RANDBETWEEN(0,5)</f>
        <v>1</v>
      </c>
      <c r="H166" t="str">
        <f t="shared" ca="1" si="4"/>
        <v>available</v>
      </c>
      <c r="I166" t="str">
        <f t="shared" ca="1" si="5"/>
        <v>(29,'hot sauce','can','fusion','hot sauce is a very nice food and beverage category that is categorized under fusion cuisine',1,1,'available'),</v>
      </c>
    </row>
    <row r="167" spans="1:9" x14ac:dyDescent="0.25">
      <c r="A167">
        <v>29</v>
      </c>
      <c r="B167" t="s">
        <v>247</v>
      </c>
      <c r="C167" t="s">
        <v>200</v>
      </c>
      <c r="D167" t="s">
        <v>114</v>
      </c>
      <c r="E167" t="s">
        <v>332</v>
      </c>
      <c r="F167">
        <v>2.2000000000000002</v>
      </c>
      <c r="G167">
        <f ca="1">RANDBETWEEN(0,5)</f>
        <v>2</v>
      </c>
      <c r="H167" t="str">
        <f t="shared" ca="1" si="4"/>
        <v>available</v>
      </c>
      <c r="I167" t="str">
        <f t="shared" ca="1" si="5"/>
        <v>(29,'peaches','can','fusion','peaches is a very nice food and beverage category that is categorized under fusion cuisine',2.2,2,'available'),</v>
      </c>
    </row>
    <row r="168" spans="1:9" x14ac:dyDescent="0.25">
      <c r="A168">
        <v>29</v>
      </c>
      <c r="B168" t="s">
        <v>250</v>
      </c>
      <c r="C168" t="s">
        <v>201</v>
      </c>
      <c r="D168" t="s">
        <v>114</v>
      </c>
      <c r="E168" t="s">
        <v>354</v>
      </c>
      <c r="F168">
        <v>3.4</v>
      </c>
      <c r="G168">
        <f ca="1">RANDBETWEEN(0,5)</f>
        <v>2</v>
      </c>
      <c r="H168" t="str">
        <f t="shared" ca="1" si="4"/>
        <v>available</v>
      </c>
      <c r="I168" t="str">
        <f t="shared" ca="1" si="5"/>
        <v>(29,'pumpkin seeds','package','fusion','pumpkin seeds is a very nice food and beverage category that is categorized under fusion cuisine',3.4,2,'available'),</v>
      </c>
    </row>
    <row r="169" spans="1:9" x14ac:dyDescent="0.25">
      <c r="A169">
        <v>29</v>
      </c>
      <c r="B169" t="s">
        <v>230</v>
      </c>
      <c r="C169" t="s">
        <v>201</v>
      </c>
      <c r="D169" t="s">
        <v>114</v>
      </c>
      <c r="E169" t="s">
        <v>308</v>
      </c>
      <c r="F169">
        <v>4</v>
      </c>
      <c r="G169">
        <f ca="1">RANDBETWEEN(0,5)</f>
        <v>2</v>
      </c>
      <c r="H169" t="str">
        <f t="shared" ca="1" si="4"/>
        <v>available</v>
      </c>
      <c r="I169" t="str">
        <f t="shared" ca="1" si="5"/>
        <v>(29,'spearmint','package','fusion','spearmint is a very nice food and beverage category that is categorized under fusion cuisine',4,2,'available'),</v>
      </c>
    </row>
    <row r="170" spans="1:9" x14ac:dyDescent="0.25">
      <c r="A170">
        <v>30</v>
      </c>
      <c r="B170" t="s">
        <v>242</v>
      </c>
      <c r="C170" t="s">
        <v>200</v>
      </c>
      <c r="D170" t="s">
        <v>116</v>
      </c>
      <c r="E170" t="s">
        <v>345</v>
      </c>
      <c r="F170">
        <v>2.5</v>
      </c>
      <c r="G170">
        <f ca="1">RANDBETWEEN(0,5)</f>
        <v>1</v>
      </c>
      <c r="H170" t="str">
        <f t="shared" ca="1" si="4"/>
        <v>available</v>
      </c>
      <c r="I170" t="str">
        <f t="shared" ca="1" si="5"/>
        <v>(30,'black-eyed peas','can','beverage','black-eyed peas is a very nice food and beverage category that is categorized under beverage cuisine',2.5,1,'available'),</v>
      </c>
    </row>
    <row r="171" spans="1:9" x14ac:dyDescent="0.25">
      <c r="A171">
        <v>30</v>
      </c>
      <c r="B171" t="s">
        <v>256</v>
      </c>
      <c r="C171" t="s">
        <v>203</v>
      </c>
      <c r="D171" t="s">
        <v>116</v>
      </c>
      <c r="E171" t="s">
        <v>301</v>
      </c>
      <c r="F171">
        <v>10.7</v>
      </c>
      <c r="G171">
        <f ca="1">RANDBETWEEN(0,5)</f>
        <v>4</v>
      </c>
      <c r="H171" t="str">
        <f t="shared" ca="1" si="4"/>
        <v>available</v>
      </c>
      <c r="I171" t="str">
        <f t="shared" ca="1" si="5"/>
        <v>(30,'brandy','bottle','beverage','brandy is a very nice food and beverage category that is categorized under beverage cuisine',10.7,4,'available'),</v>
      </c>
    </row>
    <row r="172" spans="1:9" x14ac:dyDescent="0.25">
      <c r="A172">
        <v>30</v>
      </c>
      <c r="B172" t="s">
        <v>288</v>
      </c>
      <c r="C172" t="s">
        <v>200</v>
      </c>
      <c r="D172" t="s">
        <v>116</v>
      </c>
      <c r="E172" t="s">
        <v>369</v>
      </c>
      <c r="F172">
        <v>4</v>
      </c>
      <c r="G172">
        <f ca="1">RANDBETWEEN(0,5)</f>
        <v>3</v>
      </c>
      <c r="H172" t="str">
        <f t="shared" ca="1" si="4"/>
        <v>available</v>
      </c>
      <c r="I172" t="str">
        <f t="shared" ca="1" si="5"/>
        <v>(30,'fennel','can','beverage','fennel is a very nice food and beverage category that is categorized under beverage cuisine',4,3,'available'),</v>
      </c>
    </row>
    <row r="173" spans="1:9" x14ac:dyDescent="0.25">
      <c r="A173">
        <v>30</v>
      </c>
      <c r="B173" t="s">
        <v>279</v>
      </c>
      <c r="C173" t="s">
        <v>201</v>
      </c>
      <c r="D173" t="s">
        <v>116</v>
      </c>
      <c r="E173" t="s">
        <v>317</v>
      </c>
      <c r="F173">
        <v>1.4</v>
      </c>
      <c r="G173">
        <f ca="1">RANDBETWEEN(0,5)</f>
        <v>1</v>
      </c>
      <c r="H173" t="str">
        <f t="shared" ca="1" si="4"/>
        <v>available</v>
      </c>
      <c r="I173" t="str">
        <f t="shared" ca="1" si="5"/>
        <v>(30,'jicama','package','beverage','jicama is a very nice food and beverage category that is categorized under beverage cuisine',1.4,1,'available'),</v>
      </c>
    </row>
    <row r="174" spans="1:9" x14ac:dyDescent="0.25">
      <c r="A174">
        <v>30</v>
      </c>
      <c r="B174" t="s">
        <v>246</v>
      </c>
      <c r="C174" t="s">
        <v>203</v>
      </c>
      <c r="D174" t="s">
        <v>116</v>
      </c>
      <c r="E174" t="s">
        <v>356</v>
      </c>
      <c r="F174">
        <v>8.9</v>
      </c>
      <c r="G174">
        <f ca="1">RANDBETWEEN(0,5)</f>
        <v>3</v>
      </c>
      <c r="H174" t="str">
        <f t="shared" ca="1" si="4"/>
        <v>available</v>
      </c>
      <c r="I174" t="str">
        <f t="shared" ca="1" si="5"/>
        <v>(30,'rose water','bottle','beverage','rose water is a very nice food and beverage category that is categorized under beverage cuisine',8.9,3,'available'),</v>
      </c>
    </row>
    <row r="175" spans="1:9" x14ac:dyDescent="0.25">
      <c r="A175">
        <v>30</v>
      </c>
      <c r="B175" t="s">
        <v>230</v>
      </c>
      <c r="C175" t="s">
        <v>201</v>
      </c>
      <c r="D175" t="s">
        <v>114</v>
      </c>
      <c r="E175" t="s">
        <v>308</v>
      </c>
      <c r="F175">
        <v>4</v>
      </c>
      <c r="G175">
        <f ca="1">RANDBETWEEN(0,5)</f>
        <v>5</v>
      </c>
      <c r="H175" t="str">
        <f t="shared" ca="1" si="4"/>
        <v>available</v>
      </c>
      <c r="I175" t="str">
        <f t="shared" ca="1" si="5"/>
        <v>(30,'spearmint','package','fusion','spearmint is a very nice food and beverage category that is categorized under fusion cuisine',4,5,'available'),</v>
      </c>
    </row>
    <row r="176" spans="1:9" x14ac:dyDescent="0.25">
      <c r="A176">
        <v>31</v>
      </c>
      <c r="B176" t="s">
        <v>292</v>
      </c>
      <c r="C176" t="s">
        <v>200</v>
      </c>
      <c r="D176" t="s">
        <v>116</v>
      </c>
      <c r="E176" t="s">
        <v>304</v>
      </c>
      <c r="F176">
        <v>2</v>
      </c>
      <c r="G176">
        <f ca="1">RANDBETWEEN(0,5)</f>
        <v>4</v>
      </c>
      <c r="H176" t="str">
        <f t="shared" ca="1" si="4"/>
        <v>available</v>
      </c>
      <c r="I176" t="str">
        <f t="shared" ca="1" si="5"/>
        <v>(31,'bay leaves','can','beverage','bay leaves is a very nice food and beverage category that is categorized under beverage cuisine',2,4,'available'),</v>
      </c>
    </row>
    <row r="177" spans="1:9" x14ac:dyDescent="0.25">
      <c r="A177">
        <v>31</v>
      </c>
      <c r="B177" t="s">
        <v>209</v>
      </c>
      <c r="C177" t="s">
        <v>200</v>
      </c>
      <c r="D177" t="s">
        <v>116</v>
      </c>
      <c r="E177" t="s">
        <v>300</v>
      </c>
      <c r="F177">
        <v>3.9</v>
      </c>
      <c r="G177">
        <f ca="1">RANDBETWEEN(0,5)</f>
        <v>0</v>
      </c>
      <c r="H177" t="str">
        <f t="shared" ca="1" si="4"/>
        <v>available</v>
      </c>
      <c r="I177" t="str">
        <f t="shared" ca="1" si="5"/>
        <v>(31,'chard','can','beverage','chard is a very nice food and beverage category that is categorized under beverage cuisine',3.9,0,'available'),</v>
      </c>
    </row>
    <row r="178" spans="1:9" x14ac:dyDescent="0.25">
      <c r="A178">
        <v>31</v>
      </c>
      <c r="B178" t="s">
        <v>286</v>
      </c>
      <c r="C178" t="s">
        <v>200</v>
      </c>
      <c r="D178" t="s">
        <v>116</v>
      </c>
      <c r="E178" t="s">
        <v>318</v>
      </c>
      <c r="F178">
        <v>2.9</v>
      </c>
      <c r="G178">
        <f ca="1">RANDBETWEEN(0,5)</f>
        <v>2</v>
      </c>
      <c r="H178" t="str">
        <f t="shared" ca="1" si="4"/>
        <v>available</v>
      </c>
      <c r="I178" t="str">
        <f t="shared" ca="1" si="5"/>
        <v>(31,'chestnuts','can','beverage','chestnuts is a very nice food and beverage category that is categorized under beverage cuisine',2.9,2,'available'),</v>
      </c>
    </row>
    <row r="179" spans="1:9" x14ac:dyDescent="0.25">
      <c r="A179">
        <v>31</v>
      </c>
      <c r="B179" t="s">
        <v>259</v>
      </c>
      <c r="C179" t="s">
        <v>200</v>
      </c>
      <c r="D179" t="s">
        <v>116</v>
      </c>
      <c r="E179" t="s">
        <v>302</v>
      </c>
      <c r="F179">
        <v>5.0999999999999996</v>
      </c>
      <c r="G179">
        <f ca="1">RANDBETWEEN(0,5)</f>
        <v>0</v>
      </c>
      <c r="H179" t="str">
        <f t="shared" ca="1" si="4"/>
        <v>available</v>
      </c>
      <c r="I179" t="str">
        <f t="shared" ca="1" si="5"/>
        <v>(31,'Marsala','can','beverage','Marsala is a very nice food and beverage category that is categorized under beverage cuisine',5.1,0,'available'),</v>
      </c>
    </row>
    <row r="180" spans="1:9" x14ac:dyDescent="0.25">
      <c r="A180">
        <v>31</v>
      </c>
      <c r="B180" t="s">
        <v>246</v>
      </c>
      <c r="C180" t="s">
        <v>203</v>
      </c>
      <c r="D180" t="s">
        <v>116</v>
      </c>
      <c r="E180" t="s">
        <v>356</v>
      </c>
      <c r="F180">
        <v>8.9</v>
      </c>
      <c r="G180">
        <f ca="1">RANDBETWEEN(0,5)</f>
        <v>1</v>
      </c>
      <c r="H180" t="str">
        <f t="shared" ca="1" si="4"/>
        <v>available</v>
      </c>
      <c r="I180" t="str">
        <f t="shared" ca="1" si="5"/>
        <v>(31,'rose water','bottle','beverage','rose water is a very nice food and beverage category that is categorized under beverage cuisine',8.9,1,'available'),</v>
      </c>
    </row>
    <row r="181" spans="1:9" x14ac:dyDescent="0.25">
      <c r="A181">
        <v>31</v>
      </c>
      <c r="B181" t="s">
        <v>264</v>
      </c>
      <c r="C181" t="s">
        <v>200</v>
      </c>
      <c r="D181" t="s">
        <v>116</v>
      </c>
      <c r="E181" t="s">
        <v>366</v>
      </c>
      <c r="F181">
        <v>3.4</v>
      </c>
      <c r="G181">
        <f ca="1">RANDBETWEEN(0,5)</f>
        <v>2</v>
      </c>
      <c r="H181" t="str">
        <f t="shared" ca="1" si="4"/>
        <v>available</v>
      </c>
      <c r="I181" t="str">
        <f t="shared" ca="1" si="5"/>
        <v>(31,'tomato puree','can','beverage','tomato puree is a very nice food and beverage category that is categorized under beverage cuisine',3.4,2,'available'),</v>
      </c>
    </row>
    <row r="182" spans="1:9" x14ac:dyDescent="0.25">
      <c r="A182">
        <v>32</v>
      </c>
      <c r="B182" t="s">
        <v>223</v>
      </c>
      <c r="C182" t="s">
        <v>202</v>
      </c>
      <c r="D182" t="s">
        <v>114</v>
      </c>
      <c r="E182" t="s">
        <v>375</v>
      </c>
      <c r="F182">
        <v>4.9000000000000004</v>
      </c>
      <c r="G182">
        <f ca="1">RANDBETWEEN(0,5)</f>
        <v>0</v>
      </c>
      <c r="H182" t="str">
        <f t="shared" ca="1" si="4"/>
        <v>available</v>
      </c>
      <c r="I182" t="str">
        <f t="shared" ca="1" si="5"/>
        <v>(32,'cabbage','piece','fusion','cabbage is a very nice food and beverage category that is categorized under fusion cuisine',4.9,0,'available'),</v>
      </c>
    </row>
    <row r="183" spans="1:9" x14ac:dyDescent="0.25">
      <c r="A183">
        <v>32</v>
      </c>
      <c r="B183" t="s">
        <v>226</v>
      </c>
      <c r="C183" t="s">
        <v>202</v>
      </c>
      <c r="D183" t="s">
        <v>114</v>
      </c>
      <c r="E183" t="s">
        <v>305</v>
      </c>
      <c r="F183">
        <v>8.3000000000000007</v>
      </c>
      <c r="G183">
        <f ca="1">RANDBETWEEN(0,5)</f>
        <v>1</v>
      </c>
      <c r="H183" t="str">
        <f t="shared" ca="1" si="4"/>
        <v>available</v>
      </c>
      <c r="I183" t="str">
        <f t="shared" ca="1" si="5"/>
        <v>(32,'mackerel','piece','fusion','mackerel is a very nice food and beverage category that is categorized under fusion cuisine',8.3,1,'available'),</v>
      </c>
    </row>
    <row r="184" spans="1:9" x14ac:dyDescent="0.25">
      <c r="A184">
        <v>32</v>
      </c>
      <c r="B184" t="s">
        <v>247</v>
      </c>
      <c r="C184" t="s">
        <v>200</v>
      </c>
      <c r="D184" t="s">
        <v>114</v>
      </c>
      <c r="E184" t="s">
        <v>332</v>
      </c>
      <c r="F184">
        <v>2.2000000000000002</v>
      </c>
      <c r="G184">
        <f ca="1">RANDBETWEEN(0,5)</f>
        <v>2</v>
      </c>
      <c r="H184" t="str">
        <f t="shared" ca="1" si="4"/>
        <v>available</v>
      </c>
      <c r="I184" t="str">
        <f t="shared" ca="1" si="5"/>
        <v>(32,'peaches','can','fusion','peaches is a very nice food and beverage category that is categorized under fusion cuisine',2.2,2,'available'),</v>
      </c>
    </row>
    <row r="185" spans="1:9" x14ac:dyDescent="0.25">
      <c r="A185">
        <v>32</v>
      </c>
      <c r="B185" t="s">
        <v>254</v>
      </c>
      <c r="C185" t="s">
        <v>201</v>
      </c>
      <c r="D185" t="s">
        <v>114</v>
      </c>
      <c r="E185" t="s">
        <v>316</v>
      </c>
      <c r="F185">
        <v>1.2</v>
      </c>
      <c r="G185">
        <f ca="1">RANDBETWEEN(0,5)</f>
        <v>5</v>
      </c>
      <c r="H185" t="str">
        <f t="shared" ca="1" si="4"/>
        <v>available</v>
      </c>
      <c r="I185" t="str">
        <f t="shared" ca="1" si="5"/>
        <v>(32,'provolone','package','fusion','provolone is a very nice food and beverage category that is categorized under fusion cuisine',1.2,5,'available'),</v>
      </c>
    </row>
    <row r="186" spans="1:9" x14ac:dyDescent="0.25">
      <c r="A186">
        <v>32</v>
      </c>
      <c r="B186" t="s">
        <v>228</v>
      </c>
      <c r="C186" t="s">
        <v>201</v>
      </c>
      <c r="D186" t="s">
        <v>114</v>
      </c>
      <c r="E186" t="s">
        <v>319</v>
      </c>
      <c r="F186">
        <v>2</v>
      </c>
      <c r="G186">
        <f ca="1">RANDBETWEEN(0,5)</f>
        <v>4</v>
      </c>
      <c r="H186" t="str">
        <f t="shared" ca="1" si="4"/>
        <v>available</v>
      </c>
      <c r="I186" t="str">
        <f t="shared" ca="1" si="5"/>
        <v>(32,'red pepper flakes','package','fusion','red pepper flakes is a very nice food and beverage category that is categorized under fusion cuisine',2,4,'available'),</v>
      </c>
    </row>
    <row r="187" spans="1:9" x14ac:dyDescent="0.25">
      <c r="A187">
        <v>32</v>
      </c>
      <c r="B187" t="s">
        <v>275</v>
      </c>
      <c r="C187" t="s">
        <v>201</v>
      </c>
      <c r="D187" t="s">
        <v>114</v>
      </c>
      <c r="E187" t="s">
        <v>330</v>
      </c>
      <c r="F187">
        <v>1.4</v>
      </c>
      <c r="G187">
        <f ca="1">RANDBETWEEN(0,5)</f>
        <v>4</v>
      </c>
      <c r="H187" t="str">
        <f t="shared" ca="1" si="4"/>
        <v>available</v>
      </c>
      <c r="I187" t="str">
        <f t="shared" ca="1" si="5"/>
        <v>(32,'ricotta cheese','package','fusion','ricotta cheese is a very nice food and beverage category that is categorized under fusion cuisine',1.4,4,'available'),</v>
      </c>
    </row>
    <row r="188" spans="1:9" x14ac:dyDescent="0.25">
      <c r="A188">
        <v>32</v>
      </c>
      <c r="B188" t="s">
        <v>246</v>
      </c>
      <c r="C188" t="s">
        <v>203</v>
      </c>
      <c r="D188" t="s">
        <v>116</v>
      </c>
      <c r="E188" t="s">
        <v>356</v>
      </c>
      <c r="F188">
        <v>8.9</v>
      </c>
      <c r="G188">
        <f ca="1">RANDBETWEEN(0,5)</f>
        <v>5</v>
      </c>
      <c r="H188" t="str">
        <f t="shared" ca="1" si="4"/>
        <v>available</v>
      </c>
      <c r="I188" t="str">
        <f t="shared" ca="1" si="5"/>
        <v>(32,'rose water','bottle','beverage','rose water is a very nice food and beverage category that is categorized under beverage cuisine',8.9,5,'available'),</v>
      </c>
    </row>
    <row r="189" spans="1:9" x14ac:dyDescent="0.25">
      <c r="A189">
        <v>33</v>
      </c>
      <c r="B189" t="s">
        <v>245</v>
      </c>
      <c r="C189" t="s">
        <v>201</v>
      </c>
      <c r="D189" t="s">
        <v>112</v>
      </c>
      <c r="E189" t="s">
        <v>346</v>
      </c>
      <c r="F189">
        <v>2.2999999999999998</v>
      </c>
      <c r="G189">
        <f ca="1">RANDBETWEEN(0,5)</f>
        <v>2</v>
      </c>
      <c r="H189" t="str">
        <f t="shared" ca="1" si="4"/>
        <v>available</v>
      </c>
      <c r="I189" t="str">
        <f t="shared" ca="1" si="5"/>
        <v>(33,'ale','package','western','ale is a very nice food and beverage category that is categorized under western cuisine',2.3,2,'available'),</v>
      </c>
    </row>
    <row r="190" spans="1:9" x14ac:dyDescent="0.25">
      <c r="A190">
        <v>33</v>
      </c>
      <c r="B190" t="s">
        <v>260</v>
      </c>
      <c r="C190" t="s">
        <v>202</v>
      </c>
      <c r="D190" t="s">
        <v>112</v>
      </c>
      <c r="E190" t="s">
        <v>339</v>
      </c>
      <c r="F190">
        <v>1.5</v>
      </c>
      <c r="G190">
        <f ca="1">RANDBETWEEN(0,5)</f>
        <v>4</v>
      </c>
      <c r="H190" t="str">
        <f t="shared" ca="1" si="4"/>
        <v>available</v>
      </c>
      <c r="I190" t="str">
        <f t="shared" ca="1" si="5"/>
        <v>(33,'Canadian bacon','piece','western','Canadian bacon is a very nice food and beverage category that is categorized under western cuisine',1.5,4,'available'),</v>
      </c>
    </row>
    <row r="191" spans="1:9" x14ac:dyDescent="0.25">
      <c r="A191">
        <v>33</v>
      </c>
      <c r="B191" t="s">
        <v>243</v>
      </c>
      <c r="C191" t="s">
        <v>201</v>
      </c>
      <c r="D191" t="s">
        <v>112</v>
      </c>
      <c r="E191" t="s">
        <v>323</v>
      </c>
      <c r="F191">
        <v>2.2000000000000002</v>
      </c>
      <c r="G191">
        <f ca="1">RANDBETWEEN(0,5)</f>
        <v>1</v>
      </c>
      <c r="H191" t="str">
        <f t="shared" ca="1" si="4"/>
        <v>available</v>
      </c>
      <c r="I191" t="str">
        <f t="shared" ca="1" si="5"/>
        <v>(33,'french fries','package','western','french fries is a very nice food and beverage category that is categorized under western cuisine',2.2,1,'available'),</v>
      </c>
    </row>
    <row r="192" spans="1:9" x14ac:dyDescent="0.25">
      <c r="A192">
        <v>33</v>
      </c>
      <c r="B192" t="s">
        <v>234</v>
      </c>
      <c r="C192" t="s">
        <v>202</v>
      </c>
      <c r="D192" t="s">
        <v>112</v>
      </c>
      <c r="E192" t="s">
        <v>320</v>
      </c>
      <c r="F192">
        <v>1.1000000000000001</v>
      </c>
      <c r="G192">
        <f ca="1">RANDBETWEEN(0,5)</f>
        <v>5</v>
      </c>
      <c r="H192" t="str">
        <f t="shared" ca="1" si="4"/>
        <v>available</v>
      </c>
      <c r="I192" t="str">
        <f t="shared" ca="1" si="5"/>
        <v>(33,'hamburger','piece','western','hamburger is a very nice food and beverage category that is categorized under western cuisine',1.1,5,'available'),</v>
      </c>
    </row>
    <row r="193" spans="1:9" x14ac:dyDescent="0.25">
      <c r="A193">
        <v>33</v>
      </c>
      <c r="B193" t="s">
        <v>239</v>
      </c>
      <c r="C193" t="s">
        <v>200</v>
      </c>
      <c r="D193" t="s">
        <v>112</v>
      </c>
      <c r="E193" t="s">
        <v>352</v>
      </c>
      <c r="F193">
        <v>3</v>
      </c>
      <c r="G193">
        <f ca="1">RANDBETWEEN(0,5)</f>
        <v>1</v>
      </c>
      <c r="H193" t="str">
        <f t="shared" ca="1" si="4"/>
        <v>available</v>
      </c>
      <c r="I193" t="str">
        <f t="shared" ca="1" si="5"/>
        <v>(33,'pasta','can','western','pasta is a very nice food and beverage category that is categorized under western cuisine',3,1,'available'),</v>
      </c>
    </row>
    <row r="194" spans="1:9" x14ac:dyDescent="0.25">
      <c r="A194">
        <v>33</v>
      </c>
      <c r="B194" t="s">
        <v>230</v>
      </c>
      <c r="C194" t="s">
        <v>201</v>
      </c>
      <c r="D194" t="s">
        <v>114</v>
      </c>
      <c r="E194" t="s">
        <v>308</v>
      </c>
      <c r="F194">
        <v>4</v>
      </c>
      <c r="G194">
        <f ca="1">RANDBETWEEN(0,5)</f>
        <v>3</v>
      </c>
      <c r="H194" t="str">
        <f t="shared" ca="1" si="4"/>
        <v>available</v>
      </c>
      <c r="I194" t="str">
        <f t="shared" ca="1" si="5"/>
        <v>(33,'spearmint','package','fusion','spearmint is a very nice food and beverage category that is categorized under fusion cuisine',4,3,'available'),</v>
      </c>
    </row>
    <row r="195" spans="1:9" x14ac:dyDescent="0.25">
      <c r="A195">
        <v>34</v>
      </c>
      <c r="B195" t="s">
        <v>233</v>
      </c>
      <c r="C195" t="s">
        <v>201</v>
      </c>
      <c r="D195" t="s">
        <v>112</v>
      </c>
      <c r="E195" t="s">
        <v>321</v>
      </c>
      <c r="F195">
        <v>2.9</v>
      </c>
      <c r="G195">
        <f ca="1">RANDBETWEEN(0,5)</f>
        <v>3</v>
      </c>
      <c r="H195" t="str">
        <f t="shared" ref="H195:H258" ca="1" si="6">IF(RAND()&lt;0.01,"unavailable","available")</f>
        <v>available</v>
      </c>
      <c r="I195" t="str">
        <f t="shared" ref="I195:I258" ca="1" si="7">SqlGenerator(A195:H195)</f>
        <v>(34,'acorn squash','package','western','acorn squash is a very nice food and beverage category that is categorized under western cuisine',2.9,3,'available'),</v>
      </c>
    </row>
    <row r="196" spans="1:9" x14ac:dyDescent="0.25">
      <c r="A196">
        <v>34</v>
      </c>
      <c r="B196" t="s">
        <v>245</v>
      </c>
      <c r="C196" t="s">
        <v>201</v>
      </c>
      <c r="D196" t="s">
        <v>112</v>
      </c>
      <c r="E196" t="s">
        <v>346</v>
      </c>
      <c r="F196">
        <v>2.2999999999999998</v>
      </c>
      <c r="G196">
        <f ca="1">RANDBETWEEN(0,5)</f>
        <v>3</v>
      </c>
      <c r="H196" t="str">
        <f t="shared" ca="1" si="6"/>
        <v>available</v>
      </c>
      <c r="I196" t="str">
        <f t="shared" ca="1" si="7"/>
        <v>(34,'ale','package','western','ale is a very nice food and beverage category that is categorized under western cuisine',2.3,3,'available'),</v>
      </c>
    </row>
    <row r="197" spans="1:9" x14ac:dyDescent="0.25">
      <c r="A197">
        <v>34</v>
      </c>
      <c r="B197" t="s">
        <v>219</v>
      </c>
      <c r="C197" t="s">
        <v>200</v>
      </c>
      <c r="D197" t="s">
        <v>112</v>
      </c>
      <c r="E197" t="s">
        <v>328</v>
      </c>
      <c r="F197">
        <v>5.3</v>
      </c>
      <c r="G197">
        <f ca="1">RANDBETWEEN(0,5)</f>
        <v>0</v>
      </c>
      <c r="H197" t="str">
        <f t="shared" ca="1" si="6"/>
        <v>available</v>
      </c>
      <c r="I197" t="str">
        <f t="shared" ca="1" si="7"/>
        <v>(34,'canola oil','can','western','canola oil is a very nice food and beverage category that is categorized under western cuisine',5.3,0,'available'),</v>
      </c>
    </row>
    <row r="198" spans="1:9" x14ac:dyDescent="0.25">
      <c r="A198">
        <v>34</v>
      </c>
      <c r="B198" t="s">
        <v>257</v>
      </c>
      <c r="C198" t="s">
        <v>200</v>
      </c>
      <c r="D198" t="s">
        <v>112</v>
      </c>
      <c r="E198" t="s">
        <v>295</v>
      </c>
      <c r="F198">
        <v>2.2000000000000002</v>
      </c>
      <c r="G198">
        <f ca="1">RANDBETWEEN(0,5)</f>
        <v>1</v>
      </c>
      <c r="H198" t="str">
        <f t="shared" ca="1" si="6"/>
        <v>available</v>
      </c>
      <c r="I198" t="str">
        <f t="shared" ca="1" si="7"/>
        <v>(34,'cream of tartar','can','western','cream of tartar is a very nice food and beverage category that is categorized under western cuisine',2.2,1,'available'),</v>
      </c>
    </row>
    <row r="199" spans="1:9" x14ac:dyDescent="0.25">
      <c r="A199">
        <v>34</v>
      </c>
      <c r="B199" t="s">
        <v>243</v>
      </c>
      <c r="C199" t="s">
        <v>201</v>
      </c>
      <c r="D199" t="s">
        <v>112</v>
      </c>
      <c r="E199" t="s">
        <v>323</v>
      </c>
      <c r="F199">
        <v>2.2000000000000002</v>
      </c>
      <c r="G199">
        <f ca="1">RANDBETWEEN(0,5)</f>
        <v>0</v>
      </c>
      <c r="H199" t="str">
        <f t="shared" ca="1" si="6"/>
        <v>unavailable</v>
      </c>
      <c r="I199" t="str">
        <f t="shared" ca="1" si="7"/>
        <v>(34,'french fries','package','western','french fries is a very nice food and beverage category that is categorized under western cuisine',2.2,0,'unavailable'),</v>
      </c>
    </row>
    <row r="200" spans="1:9" x14ac:dyDescent="0.25">
      <c r="A200">
        <v>34</v>
      </c>
      <c r="B200" t="s">
        <v>265</v>
      </c>
      <c r="C200" t="s">
        <v>202</v>
      </c>
      <c r="D200" t="s">
        <v>112</v>
      </c>
      <c r="E200" t="s">
        <v>315</v>
      </c>
      <c r="F200">
        <v>4.5</v>
      </c>
      <c r="G200">
        <f ca="1">RANDBETWEEN(0,5)</f>
        <v>3</v>
      </c>
      <c r="H200" t="str">
        <f t="shared" ca="1" si="6"/>
        <v>available</v>
      </c>
      <c r="I200" t="str">
        <f t="shared" ca="1" si="7"/>
        <v>(34,'steak','piece','western','steak is a very nice food and beverage category that is categorized under western cuisine',4.5,3,'available'),</v>
      </c>
    </row>
    <row r="201" spans="1:9" x14ac:dyDescent="0.25">
      <c r="A201">
        <v>35</v>
      </c>
      <c r="B201" t="s">
        <v>217</v>
      </c>
      <c r="C201" t="s">
        <v>203</v>
      </c>
      <c r="D201" t="s">
        <v>113</v>
      </c>
      <c r="E201" t="s">
        <v>296</v>
      </c>
      <c r="F201">
        <v>5.4</v>
      </c>
      <c r="G201">
        <f ca="1">RANDBETWEEN(0,5)</f>
        <v>0</v>
      </c>
      <c r="H201" t="str">
        <f t="shared" ca="1" si="6"/>
        <v>available</v>
      </c>
      <c r="I201" t="str">
        <f t="shared" ca="1" si="7"/>
        <v>(35,'borscht','bottle','asian','borscht is a very nice food and beverage category that is categorized under asian cuisine',5.4,0,'available'),</v>
      </c>
    </row>
    <row r="202" spans="1:9" x14ac:dyDescent="0.25">
      <c r="A202">
        <v>35</v>
      </c>
      <c r="B202" t="s">
        <v>274</v>
      </c>
      <c r="C202" t="s">
        <v>200</v>
      </c>
      <c r="D202" t="s">
        <v>113</v>
      </c>
      <c r="E202" t="s">
        <v>322</v>
      </c>
      <c r="F202">
        <v>2.4</v>
      </c>
      <c r="G202">
        <f ca="1">RANDBETWEEN(0,5)</f>
        <v>2</v>
      </c>
      <c r="H202" t="str">
        <f t="shared" ca="1" si="6"/>
        <v>available</v>
      </c>
      <c r="I202" t="str">
        <f t="shared" ca="1" si="7"/>
        <v>(35,'cremini mushrooms','can','asian','cremini mushrooms is a very nice food and beverage category that is categorized under asian cuisine',2.4,2,'available'),</v>
      </c>
    </row>
    <row r="203" spans="1:9" x14ac:dyDescent="0.25">
      <c r="A203">
        <v>35</v>
      </c>
      <c r="B203" t="s">
        <v>278</v>
      </c>
      <c r="C203" t="s">
        <v>202</v>
      </c>
      <c r="D203" t="s">
        <v>113</v>
      </c>
      <c r="E203" t="s">
        <v>306</v>
      </c>
      <c r="F203">
        <v>5.2</v>
      </c>
      <c r="G203">
        <f ca="1">RANDBETWEEN(0,5)</f>
        <v>4</v>
      </c>
      <c r="H203" t="str">
        <f t="shared" ca="1" si="6"/>
        <v>available</v>
      </c>
      <c r="I203" t="str">
        <f t="shared" ca="1" si="7"/>
        <v>(35,'grouper','piece','asian','grouper is a very nice food and beverage category that is categorized under asian cuisine',5.2,4,'available'),</v>
      </c>
    </row>
    <row r="204" spans="1:9" x14ac:dyDescent="0.25">
      <c r="A204">
        <v>35</v>
      </c>
      <c r="B204" t="s">
        <v>210</v>
      </c>
      <c r="C204" t="s">
        <v>201</v>
      </c>
      <c r="D204" t="s">
        <v>113</v>
      </c>
      <c r="E204" t="s">
        <v>363</v>
      </c>
      <c r="F204">
        <v>4.5999999999999996</v>
      </c>
      <c r="G204">
        <f ca="1">RANDBETWEEN(0,5)</f>
        <v>2</v>
      </c>
      <c r="H204" t="str">
        <f t="shared" ca="1" si="6"/>
        <v>unavailable</v>
      </c>
      <c r="I204" t="str">
        <f t="shared" ca="1" si="7"/>
        <v>(35,'leeks','package','asian','leeks is a very nice food and beverage category that is categorized under asian cuisine',4.6,2,'unavailable'),</v>
      </c>
    </row>
    <row r="205" spans="1:9" x14ac:dyDescent="0.25">
      <c r="A205">
        <v>35</v>
      </c>
      <c r="B205" t="s">
        <v>215</v>
      </c>
      <c r="C205" t="s">
        <v>202</v>
      </c>
      <c r="D205" t="s">
        <v>113</v>
      </c>
      <c r="E205" t="s">
        <v>347</v>
      </c>
      <c r="F205">
        <v>4.5</v>
      </c>
      <c r="G205">
        <f ca="1">RANDBETWEEN(0,5)</f>
        <v>3</v>
      </c>
      <c r="H205" t="str">
        <f t="shared" ca="1" si="6"/>
        <v>available</v>
      </c>
      <c r="I205" t="str">
        <f t="shared" ca="1" si="7"/>
        <v>(35,'liver','piece','asian','liver is a very nice food and beverage category that is categorized under asian cuisine',4.5,3,'available'),</v>
      </c>
    </row>
    <row r="206" spans="1:9" x14ac:dyDescent="0.25">
      <c r="A206">
        <v>35</v>
      </c>
      <c r="B206" t="s">
        <v>265</v>
      </c>
      <c r="C206" t="s">
        <v>202</v>
      </c>
      <c r="D206" t="s">
        <v>112</v>
      </c>
      <c r="E206" t="s">
        <v>315</v>
      </c>
      <c r="F206">
        <v>4.5</v>
      </c>
      <c r="G206">
        <f ca="1">RANDBETWEEN(0,5)</f>
        <v>5</v>
      </c>
      <c r="H206" t="str">
        <f t="shared" ca="1" si="6"/>
        <v>available</v>
      </c>
      <c r="I206" t="str">
        <f t="shared" ca="1" si="7"/>
        <v>(35,'steak','piece','western','steak is a very nice food and beverage category that is categorized under western cuisine',4.5,5,'available'),</v>
      </c>
    </row>
    <row r="207" spans="1:9" x14ac:dyDescent="0.25">
      <c r="A207">
        <v>36</v>
      </c>
      <c r="B207" t="s">
        <v>233</v>
      </c>
      <c r="C207" t="s">
        <v>201</v>
      </c>
      <c r="D207" t="s">
        <v>112</v>
      </c>
      <c r="E207" t="s">
        <v>321</v>
      </c>
      <c r="F207">
        <v>2.9</v>
      </c>
      <c r="G207">
        <f ca="1">RANDBETWEEN(0,5)</f>
        <v>4</v>
      </c>
      <c r="H207" t="str">
        <f t="shared" ca="1" si="6"/>
        <v>available</v>
      </c>
      <c r="I207" t="str">
        <f t="shared" ca="1" si="7"/>
        <v>(36,'acorn squash','package','western','acorn squash is a very nice food and beverage category that is categorized under western cuisine',2.9,4,'available'),</v>
      </c>
    </row>
    <row r="208" spans="1:9" x14ac:dyDescent="0.25">
      <c r="A208">
        <v>36</v>
      </c>
      <c r="B208" t="s">
        <v>219</v>
      </c>
      <c r="C208" t="s">
        <v>200</v>
      </c>
      <c r="D208" t="s">
        <v>112</v>
      </c>
      <c r="E208" t="s">
        <v>328</v>
      </c>
      <c r="F208">
        <v>5.3</v>
      </c>
      <c r="G208">
        <f ca="1">RANDBETWEEN(0,5)</f>
        <v>3</v>
      </c>
      <c r="H208" t="str">
        <f t="shared" ca="1" si="6"/>
        <v>available</v>
      </c>
      <c r="I208" t="str">
        <f t="shared" ca="1" si="7"/>
        <v>(36,'canola oil','can','western','canola oil is a very nice food and beverage category that is categorized under western cuisine',5.3,3,'available'),</v>
      </c>
    </row>
    <row r="209" spans="1:9" x14ac:dyDescent="0.25">
      <c r="A209">
        <v>36</v>
      </c>
      <c r="B209" t="s">
        <v>243</v>
      </c>
      <c r="C209" t="s">
        <v>201</v>
      </c>
      <c r="D209" t="s">
        <v>112</v>
      </c>
      <c r="E209" t="s">
        <v>323</v>
      </c>
      <c r="F209">
        <v>2.2000000000000002</v>
      </c>
      <c r="G209">
        <f ca="1">RANDBETWEEN(0,5)</f>
        <v>2</v>
      </c>
      <c r="H209" t="str">
        <f t="shared" ca="1" si="6"/>
        <v>available</v>
      </c>
      <c r="I209" t="str">
        <f t="shared" ca="1" si="7"/>
        <v>(36,'french fries','package','western','french fries is a very nice food and beverage category that is categorized under western cuisine',2.2,2,'available'),</v>
      </c>
    </row>
    <row r="210" spans="1:9" x14ac:dyDescent="0.25">
      <c r="A210">
        <v>36</v>
      </c>
      <c r="B210" t="s">
        <v>234</v>
      </c>
      <c r="C210" t="s">
        <v>202</v>
      </c>
      <c r="D210" t="s">
        <v>112</v>
      </c>
      <c r="E210" t="s">
        <v>320</v>
      </c>
      <c r="F210">
        <v>1.1000000000000001</v>
      </c>
      <c r="G210">
        <f ca="1">RANDBETWEEN(0,5)</f>
        <v>3</v>
      </c>
      <c r="H210" t="str">
        <f t="shared" ca="1" si="6"/>
        <v>available</v>
      </c>
      <c r="I210" t="str">
        <f t="shared" ca="1" si="7"/>
        <v>(36,'hamburger','piece','western','hamburger is a very nice food and beverage category that is categorized under western cuisine',1.1,3,'available'),</v>
      </c>
    </row>
    <row r="211" spans="1:9" x14ac:dyDescent="0.25">
      <c r="A211">
        <v>36</v>
      </c>
      <c r="B211" t="s">
        <v>215</v>
      </c>
      <c r="C211" t="s">
        <v>202</v>
      </c>
      <c r="D211" t="s">
        <v>113</v>
      </c>
      <c r="E211" t="s">
        <v>347</v>
      </c>
      <c r="F211">
        <v>4.5</v>
      </c>
      <c r="G211">
        <f ca="1">RANDBETWEEN(0,5)</f>
        <v>0</v>
      </c>
      <c r="H211" t="str">
        <f t="shared" ca="1" si="6"/>
        <v>available</v>
      </c>
      <c r="I211" t="str">
        <f t="shared" ca="1" si="7"/>
        <v>(36,'liver','piece','asian','liver is a very nice food and beverage category that is categorized under asian cuisine',4.5,0,'available'),</v>
      </c>
    </row>
    <row r="212" spans="1:9" x14ac:dyDescent="0.25">
      <c r="A212">
        <v>36</v>
      </c>
      <c r="B212" t="s">
        <v>221</v>
      </c>
      <c r="C212" t="s">
        <v>200</v>
      </c>
      <c r="D212" t="s">
        <v>112</v>
      </c>
      <c r="E212" t="s">
        <v>335</v>
      </c>
      <c r="F212">
        <v>4</v>
      </c>
      <c r="G212">
        <f ca="1">RANDBETWEEN(0,5)</f>
        <v>1</v>
      </c>
      <c r="H212" t="str">
        <f t="shared" ca="1" si="6"/>
        <v>available</v>
      </c>
      <c r="I212" t="str">
        <f t="shared" ca="1" si="7"/>
        <v>(36,'sauerkraut','can','western','sauerkraut is a very nice food and beverage category that is categorized under western cuisine',4,1,'available'),</v>
      </c>
    </row>
    <row r="213" spans="1:9" x14ac:dyDescent="0.25">
      <c r="A213">
        <v>36</v>
      </c>
      <c r="B213" t="s">
        <v>222</v>
      </c>
      <c r="C213" t="s">
        <v>201</v>
      </c>
      <c r="D213" t="s">
        <v>112</v>
      </c>
      <c r="E213" t="s">
        <v>338</v>
      </c>
      <c r="F213">
        <v>5</v>
      </c>
      <c r="G213">
        <f ca="1">RANDBETWEEN(0,5)</f>
        <v>2</v>
      </c>
      <c r="H213" t="str">
        <f t="shared" ca="1" si="6"/>
        <v>available</v>
      </c>
      <c r="I213" t="str">
        <f t="shared" ca="1" si="7"/>
        <v>(36,'spaghetti squash','package','western','spaghetti squash is a very nice food and beverage category that is categorized under western cuisine',5,2,'available'),</v>
      </c>
    </row>
    <row r="214" spans="1:9" x14ac:dyDescent="0.25">
      <c r="A214">
        <v>37</v>
      </c>
      <c r="B214" t="s">
        <v>293</v>
      </c>
      <c r="C214" t="s">
        <v>200</v>
      </c>
      <c r="D214" t="s">
        <v>115</v>
      </c>
      <c r="E214" t="s">
        <v>370</v>
      </c>
      <c r="F214">
        <v>2.4</v>
      </c>
      <c r="G214">
        <f ca="1">RANDBETWEEN(0,5)</f>
        <v>1</v>
      </c>
      <c r="H214" t="str">
        <f t="shared" ca="1" si="6"/>
        <v>available</v>
      </c>
      <c r="I214" t="str">
        <f t="shared" ca="1" si="7"/>
        <v>(37,'bean sprouts','can','vegetable','bean sprouts is a very nice food and beverage category that is categorized under vegetable cuisine',2.4,1,'available'),</v>
      </c>
    </row>
    <row r="215" spans="1:9" x14ac:dyDescent="0.25">
      <c r="A215">
        <v>37</v>
      </c>
      <c r="B215" t="s">
        <v>268</v>
      </c>
      <c r="C215" t="s">
        <v>200</v>
      </c>
      <c r="D215" t="s">
        <v>115</v>
      </c>
      <c r="E215" t="s">
        <v>355</v>
      </c>
      <c r="F215">
        <v>3.2</v>
      </c>
      <c r="G215">
        <f ca="1">RANDBETWEEN(0,5)</f>
        <v>5</v>
      </c>
      <c r="H215" t="str">
        <f t="shared" ca="1" si="6"/>
        <v>available</v>
      </c>
      <c r="I215" t="str">
        <f t="shared" ca="1" si="7"/>
        <v>(37,'beets','can','vegetable','beets is a very nice food and beverage category that is categorized under vegetable cuisine',3.2,5,'available'),</v>
      </c>
    </row>
    <row r="216" spans="1:9" x14ac:dyDescent="0.25">
      <c r="A216">
        <v>37</v>
      </c>
      <c r="B216" t="s">
        <v>276</v>
      </c>
      <c r="C216" t="s">
        <v>200</v>
      </c>
      <c r="D216" t="s">
        <v>115</v>
      </c>
      <c r="E216" t="s">
        <v>360</v>
      </c>
      <c r="F216">
        <v>3.7</v>
      </c>
      <c r="G216">
        <f ca="1">RANDBETWEEN(0,5)</f>
        <v>2</v>
      </c>
      <c r="H216" t="str">
        <f t="shared" ca="1" si="6"/>
        <v>available</v>
      </c>
      <c r="I216" t="str">
        <f t="shared" ca="1" si="7"/>
        <v>(37,'berries','can','vegetable','berries is a very nice food and beverage category that is categorized under vegetable cuisine',3.7,2,'available'),</v>
      </c>
    </row>
    <row r="217" spans="1:9" x14ac:dyDescent="0.25">
      <c r="A217">
        <v>37</v>
      </c>
      <c r="B217" t="s">
        <v>291</v>
      </c>
      <c r="C217" t="s">
        <v>200</v>
      </c>
      <c r="D217" t="s">
        <v>115</v>
      </c>
      <c r="E217" t="s">
        <v>329</v>
      </c>
      <c r="F217">
        <v>1.6</v>
      </c>
      <c r="G217">
        <f ca="1">RANDBETWEEN(0,5)</f>
        <v>3</v>
      </c>
      <c r="H217" t="str">
        <f t="shared" ca="1" si="6"/>
        <v>available</v>
      </c>
      <c r="I217" t="str">
        <f t="shared" ca="1" si="7"/>
        <v>(37,'flax seed','can','vegetable','flax seed is a very nice food and beverage category that is categorized under vegetable cuisine',1.6,3,'available'),</v>
      </c>
    </row>
    <row r="218" spans="1:9" x14ac:dyDescent="0.25">
      <c r="A218">
        <v>37</v>
      </c>
      <c r="B218" t="s">
        <v>263</v>
      </c>
      <c r="C218" t="s">
        <v>201</v>
      </c>
      <c r="D218" t="s">
        <v>115</v>
      </c>
      <c r="E218" t="s">
        <v>324</v>
      </c>
      <c r="F218">
        <v>5.9</v>
      </c>
      <c r="G218">
        <f ca="1">RANDBETWEEN(0,5)</f>
        <v>2</v>
      </c>
      <c r="H218" t="str">
        <f t="shared" ca="1" si="6"/>
        <v>available</v>
      </c>
      <c r="I218" t="str">
        <f t="shared" ca="1" si="7"/>
        <v>(37,'half-and-half','package','vegetable','half-and-half is a very nice food and beverage category that is categorized under vegetable cuisine',5.9,2,'available'),</v>
      </c>
    </row>
    <row r="219" spans="1:9" x14ac:dyDescent="0.25">
      <c r="A219">
        <v>37</v>
      </c>
      <c r="B219" t="s">
        <v>265</v>
      </c>
      <c r="C219" t="s">
        <v>202</v>
      </c>
      <c r="D219" t="s">
        <v>112</v>
      </c>
      <c r="E219" t="s">
        <v>315</v>
      </c>
      <c r="F219">
        <v>4.5</v>
      </c>
      <c r="G219">
        <f ca="1">RANDBETWEEN(0,5)</f>
        <v>4</v>
      </c>
      <c r="H219" t="str">
        <f t="shared" ca="1" si="6"/>
        <v>available</v>
      </c>
      <c r="I219" t="str">
        <f t="shared" ca="1" si="7"/>
        <v>(37,'steak','piece','western','steak is a very nice food and beverage category that is categorized under western cuisine',4.5,4,'available'),</v>
      </c>
    </row>
    <row r="220" spans="1:9" x14ac:dyDescent="0.25">
      <c r="A220">
        <v>38</v>
      </c>
      <c r="B220" t="s">
        <v>258</v>
      </c>
      <c r="C220" t="s">
        <v>201</v>
      </c>
      <c r="D220" t="s">
        <v>114</v>
      </c>
      <c r="E220" t="s">
        <v>298</v>
      </c>
      <c r="F220">
        <v>2.2000000000000002</v>
      </c>
      <c r="G220">
        <f ca="1">RANDBETWEEN(0,5)</f>
        <v>0</v>
      </c>
      <c r="H220" t="str">
        <f t="shared" ca="1" si="6"/>
        <v>available</v>
      </c>
      <c r="I220" t="str">
        <f t="shared" ca="1" si="7"/>
        <v>(38,'colby cheese','package','fusion','colby cheese is a very nice food and beverage category that is categorized under fusion cuisine',2.2,0,'available'),</v>
      </c>
    </row>
    <row r="221" spans="1:9" x14ac:dyDescent="0.25">
      <c r="A221">
        <v>38</v>
      </c>
      <c r="B221" t="s">
        <v>249</v>
      </c>
      <c r="C221" t="s">
        <v>200</v>
      </c>
      <c r="D221" t="s">
        <v>114</v>
      </c>
      <c r="E221" t="s">
        <v>361</v>
      </c>
      <c r="F221">
        <v>1</v>
      </c>
      <c r="G221">
        <f ca="1">RANDBETWEEN(0,5)</f>
        <v>5</v>
      </c>
      <c r="H221" t="str">
        <f t="shared" ca="1" si="6"/>
        <v>available</v>
      </c>
      <c r="I221" t="str">
        <f t="shared" ca="1" si="7"/>
        <v>(38,'hot sauce','can','fusion','hot sauce is a very nice food and beverage category that is categorized under fusion cuisine',1,5,'available'),</v>
      </c>
    </row>
    <row r="222" spans="1:9" x14ac:dyDescent="0.25">
      <c r="A222">
        <v>38</v>
      </c>
      <c r="B222" t="s">
        <v>247</v>
      </c>
      <c r="C222" t="s">
        <v>200</v>
      </c>
      <c r="D222" t="s">
        <v>114</v>
      </c>
      <c r="E222" t="s">
        <v>332</v>
      </c>
      <c r="F222">
        <v>2.2000000000000002</v>
      </c>
      <c r="G222">
        <f ca="1">RANDBETWEEN(0,5)</f>
        <v>2</v>
      </c>
      <c r="H222" t="str">
        <f t="shared" ca="1" si="6"/>
        <v>available</v>
      </c>
      <c r="I222" t="str">
        <f t="shared" ca="1" si="7"/>
        <v>(38,'peaches','can','fusion','peaches is a very nice food and beverage category that is categorized under fusion cuisine',2.2,2,'available'),</v>
      </c>
    </row>
    <row r="223" spans="1:9" x14ac:dyDescent="0.25">
      <c r="A223">
        <v>38</v>
      </c>
      <c r="B223" t="s">
        <v>254</v>
      </c>
      <c r="C223" t="s">
        <v>201</v>
      </c>
      <c r="D223" t="s">
        <v>114</v>
      </c>
      <c r="E223" t="s">
        <v>316</v>
      </c>
      <c r="F223">
        <v>1.2</v>
      </c>
      <c r="G223">
        <f ca="1">RANDBETWEEN(0,5)</f>
        <v>4</v>
      </c>
      <c r="H223" t="str">
        <f t="shared" ca="1" si="6"/>
        <v>available</v>
      </c>
      <c r="I223" t="str">
        <f t="shared" ca="1" si="7"/>
        <v>(38,'provolone','package','fusion','provolone is a very nice food and beverage category that is categorized under fusion cuisine',1.2,4,'available'),</v>
      </c>
    </row>
    <row r="224" spans="1:9" x14ac:dyDescent="0.25">
      <c r="A224">
        <v>38</v>
      </c>
      <c r="B224" t="s">
        <v>281</v>
      </c>
      <c r="C224" t="s">
        <v>200</v>
      </c>
      <c r="D224" t="s">
        <v>115</v>
      </c>
      <c r="E224" t="s">
        <v>367</v>
      </c>
      <c r="F224">
        <v>3.6</v>
      </c>
      <c r="G224">
        <f ca="1">RANDBETWEEN(0,5)</f>
        <v>5</v>
      </c>
      <c r="H224" t="str">
        <f t="shared" ca="1" si="6"/>
        <v>available</v>
      </c>
      <c r="I224" t="str">
        <f t="shared" ca="1" si="7"/>
        <v>(38,'strawberries','can','vegetable','strawberries is a very nice food and beverage category that is categorized under vegetable cuisine',3.6,5,'available'),</v>
      </c>
    </row>
    <row r="225" spans="1:9" x14ac:dyDescent="0.25">
      <c r="A225">
        <v>39</v>
      </c>
      <c r="B225" t="s">
        <v>227</v>
      </c>
      <c r="C225" t="s">
        <v>201</v>
      </c>
      <c r="D225" t="s">
        <v>114</v>
      </c>
      <c r="E225" t="s">
        <v>325</v>
      </c>
      <c r="F225">
        <v>2.5</v>
      </c>
      <c r="G225">
        <f ca="1">RANDBETWEEN(0,5)</f>
        <v>5</v>
      </c>
      <c r="H225" t="str">
        <f t="shared" ca="1" si="6"/>
        <v>available</v>
      </c>
      <c r="I225" t="str">
        <f t="shared" ca="1" si="7"/>
        <v>(39,'apples','package','fusion','apples is a very nice food and beverage category that is categorized under fusion cuisine',2.5,5,'available'),</v>
      </c>
    </row>
    <row r="226" spans="1:9" x14ac:dyDescent="0.25">
      <c r="A226">
        <v>39</v>
      </c>
      <c r="B226" t="s">
        <v>249</v>
      </c>
      <c r="C226" t="s">
        <v>200</v>
      </c>
      <c r="D226" t="s">
        <v>114</v>
      </c>
      <c r="E226" t="s">
        <v>361</v>
      </c>
      <c r="F226">
        <v>1</v>
      </c>
      <c r="G226">
        <f ca="1">RANDBETWEEN(0,5)</f>
        <v>1</v>
      </c>
      <c r="H226" t="str">
        <f t="shared" ca="1" si="6"/>
        <v>available</v>
      </c>
      <c r="I226" t="str">
        <f t="shared" ca="1" si="7"/>
        <v>(39,'hot sauce','can','fusion','hot sauce is a very nice food and beverage category that is categorized under fusion cuisine',1,1,'available'),</v>
      </c>
    </row>
    <row r="227" spans="1:9" x14ac:dyDescent="0.25">
      <c r="A227">
        <v>39</v>
      </c>
      <c r="B227" t="s">
        <v>226</v>
      </c>
      <c r="C227" t="s">
        <v>202</v>
      </c>
      <c r="D227" t="s">
        <v>114</v>
      </c>
      <c r="E227" t="s">
        <v>305</v>
      </c>
      <c r="F227">
        <v>8.3000000000000007</v>
      </c>
      <c r="G227">
        <f ca="1">RANDBETWEEN(0,5)</f>
        <v>2</v>
      </c>
      <c r="H227" t="str">
        <f t="shared" ca="1" si="6"/>
        <v>available</v>
      </c>
      <c r="I227" t="str">
        <f t="shared" ca="1" si="7"/>
        <v>(39,'mackerel','piece','fusion','mackerel is a very nice food and beverage category that is categorized under fusion cuisine',8.3,2,'available'),</v>
      </c>
    </row>
    <row r="228" spans="1:9" x14ac:dyDescent="0.25">
      <c r="A228">
        <v>39</v>
      </c>
      <c r="B228" t="s">
        <v>254</v>
      </c>
      <c r="C228" t="s">
        <v>201</v>
      </c>
      <c r="D228" t="s">
        <v>114</v>
      </c>
      <c r="E228" t="s">
        <v>316</v>
      </c>
      <c r="F228">
        <v>1.2</v>
      </c>
      <c r="G228">
        <f ca="1">RANDBETWEEN(0,5)</f>
        <v>0</v>
      </c>
      <c r="H228" t="str">
        <f t="shared" ca="1" si="6"/>
        <v>available</v>
      </c>
      <c r="I228" t="str">
        <f t="shared" ca="1" si="7"/>
        <v>(39,'provolone','package','fusion','provolone is a very nice food and beverage category that is categorized under fusion cuisine',1.2,0,'available'),</v>
      </c>
    </row>
    <row r="229" spans="1:9" x14ac:dyDescent="0.25">
      <c r="A229">
        <v>39</v>
      </c>
      <c r="B229" t="s">
        <v>228</v>
      </c>
      <c r="C229" t="s">
        <v>201</v>
      </c>
      <c r="D229" t="s">
        <v>114</v>
      </c>
      <c r="E229" t="s">
        <v>319</v>
      </c>
      <c r="F229">
        <v>2</v>
      </c>
      <c r="G229">
        <f ca="1">RANDBETWEEN(0,5)</f>
        <v>1</v>
      </c>
      <c r="H229" t="str">
        <f t="shared" ca="1" si="6"/>
        <v>available</v>
      </c>
      <c r="I229" t="str">
        <f t="shared" ca="1" si="7"/>
        <v>(39,'red pepper flakes','package','fusion','red pepper flakes is a very nice food and beverage category that is categorized under fusion cuisine',2,1,'available'),</v>
      </c>
    </row>
    <row r="230" spans="1:9" x14ac:dyDescent="0.25">
      <c r="A230">
        <v>39</v>
      </c>
      <c r="B230" t="s">
        <v>275</v>
      </c>
      <c r="C230" t="s">
        <v>201</v>
      </c>
      <c r="D230" t="s">
        <v>114</v>
      </c>
      <c r="E230" t="s">
        <v>330</v>
      </c>
      <c r="F230">
        <v>1.4</v>
      </c>
      <c r="G230">
        <f ca="1">RANDBETWEEN(0,5)</f>
        <v>1</v>
      </c>
      <c r="H230" t="str">
        <f t="shared" ca="1" si="6"/>
        <v>available</v>
      </c>
      <c r="I230" t="str">
        <f t="shared" ca="1" si="7"/>
        <v>(39,'ricotta cheese','package','fusion','ricotta cheese is a very nice food and beverage category that is categorized under fusion cuisine',1.4,1,'available'),</v>
      </c>
    </row>
    <row r="231" spans="1:9" x14ac:dyDescent="0.25">
      <c r="A231">
        <v>40</v>
      </c>
      <c r="B231" t="s">
        <v>261</v>
      </c>
      <c r="C231" t="s">
        <v>203</v>
      </c>
      <c r="D231" t="s">
        <v>113</v>
      </c>
      <c r="E231" t="s">
        <v>326</v>
      </c>
      <c r="F231">
        <v>5.9</v>
      </c>
      <c r="G231">
        <f ca="1">RANDBETWEEN(0,5)</f>
        <v>0</v>
      </c>
      <c r="H231" t="str">
        <f t="shared" ca="1" si="6"/>
        <v>available</v>
      </c>
      <c r="I231" t="str">
        <f t="shared" ca="1" si="7"/>
        <v>(40,'coconut oil','bottle','asian','coconut oil is a very nice food and beverage category that is categorized under asian cuisine',5.9,0,'available'),</v>
      </c>
    </row>
    <row r="232" spans="1:9" x14ac:dyDescent="0.25">
      <c r="A232">
        <v>40</v>
      </c>
      <c r="B232" t="s">
        <v>218</v>
      </c>
      <c r="C232" t="s">
        <v>200</v>
      </c>
      <c r="D232" t="s">
        <v>113</v>
      </c>
      <c r="E232" t="s">
        <v>344</v>
      </c>
      <c r="F232">
        <v>5.0999999999999996</v>
      </c>
      <c r="G232">
        <f ca="1">RANDBETWEEN(0,5)</f>
        <v>2</v>
      </c>
      <c r="H232" t="str">
        <f t="shared" ca="1" si="6"/>
        <v>available</v>
      </c>
      <c r="I232" t="str">
        <f t="shared" ca="1" si="7"/>
        <v>(40,'corn','can','asian','corn is a very nice food and beverage category that is categorized under asian cuisine',5.1,2,'available'),</v>
      </c>
    </row>
    <row r="233" spans="1:9" x14ac:dyDescent="0.25">
      <c r="A233">
        <v>40</v>
      </c>
      <c r="B233" t="s">
        <v>274</v>
      </c>
      <c r="C233" t="s">
        <v>200</v>
      </c>
      <c r="D233" t="s">
        <v>113</v>
      </c>
      <c r="E233" t="s">
        <v>322</v>
      </c>
      <c r="F233">
        <v>2.4</v>
      </c>
      <c r="G233">
        <f ca="1">RANDBETWEEN(0,5)</f>
        <v>0</v>
      </c>
      <c r="H233" t="str">
        <f t="shared" ca="1" si="6"/>
        <v>available</v>
      </c>
      <c r="I233" t="str">
        <f t="shared" ca="1" si="7"/>
        <v>(40,'cremini mushrooms','can','asian','cremini mushrooms is a very nice food and beverage category that is categorized under asian cuisine',2.4,0,'available'),</v>
      </c>
    </row>
    <row r="234" spans="1:9" x14ac:dyDescent="0.25">
      <c r="A234">
        <v>40</v>
      </c>
      <c r="B234" t="s">
        <v>210</v>
      </c>
      <c r="C234" t="s">
        <v>201</v>
      </c>
      <c r="D234" t="s">
        <v>113</v>
      </c>
      <c r="E234" t="s">
        <v>363</v>
      </c>
      <c r="F234">
        <v>4.5999999999999996</v>
      </c>
      <c r="G234">
        <f ca="1">RANDBETWEEN(0,5)</f>
        <v>1</v>
      </c>
      <c r="H234" t="str">
        <f t="shared" ca="1" si="6"/>
        <v>available</v>
      </c>
      <c r="I234" t="str">
        <f t="shared" ca="1" si="7"/>
        <v>(40,'leeks','package','asian','leeks is a very nice food and beverage category that is categorized under asian cuisine',4.6,1,'available'),</v>
      </c>
    </row>
    <row r="235" spans="1:9" x14ac:dyDescent="0.25">
      <c r="A235">
        <v>40</v>
      </c>
      <c r="B235" t="s">
        <v>211</v>
      </c>
      <c r="C235" t="s">
        <v>201</v>
      </c>
      <c r="D235" t="s">
        <v>113</v>
      </c>
      <c r="E235" t="s">
        <v>358</v>
      </c>
      <c r="F235">
        <v>2.6</v>
      </c>
      <c r="G235">
        <f ca="1">RANDBETWEEN(0,5)</f>
        <v>0</v>
      </c>
      <c r="H235" t="str">
        <f t="shared" ca="1" si="6"/>
        <v>available</v>
      </c>
      <c r="I235" t="str">
        <f t="shared" ca="1" si="7"/>
        <v>(40,'lettuce','package','asian','lettuce is a very nice food and beverage category that is categorized under asian cuisine',2.6,0,'available'),</v>
      </c>
    </row>
    <row r="236" spans="1:9" x14ac:dyDescent="0.25">
      <c r="A236">
        <v>40</v>
      </c>
      <c r="B236" t="s">
        <v>215</v>
      </c>
      <c r="C236" t="s">
        <v>202</v>
      </c>
      <c r="D236" t="s">
        <v>113</v>
      </c>
      <c r="E236" t="s">
        <v>347</v>
      </c>
      <c r="F236">
        <v>4.5</v>
      </c>
      <c r="G236">
        <f ca="1">RANDBETWEEN(0,5)</f>
        <v>3</v>
      </c>
      <c r="H236" t="str">
        <f t="shared" ca="1" si="6"/>
        <v>available</v>
      </c>
      <c r="I236" t="str">
        <f t="shared" ca="1" si="7"/>
        <v>(40,'liver','piece','asian','liver is a very nice food and beverage category that is categorized under asian cuisine',4.5,3,'available'),</v>
      </c>
    </row>
    <row r="237" spans="1:9" x14ac:dyDescent="0.25">
      <c r="A237">
        <v>40</v>
      </c>
      <c r="B237" t="s">
        <v>275</v>
      </c>
      <c r="C237" t="s">
        <v>201</v>
      </c>
      <c r="D237" t="s">
        <v>114</v>
      </c>
      <c r="E237" t="s">
        <v>330</v>
      </c>
      <c r="F237">
        <v>1.4</v>
      </c>
      <c r="G237">
        <f ca="1">RANDBETWEEN(0,5)</f>
        <v>5</v>
      </c>
      <c r="H237" t="str">
        <f t="shared" ca="1" si="6"/>
        <v>available</v>
      </c>
      <c r="I237" t="str">
        <f t="shared" ca="1" si="7"/>
        <v>(40,'ricotta cheese','package','fusion','ricotta cheese is a very nice food and beverage category that is categorized under fusion cuisine',1.4,5,'available'),</v>
      </c>
    </row>
    <row r="238" spans="1:9" x14ac:dyDescent="0.25">
      <c r="A238">
        <v>41</v>
      </c>
      <c r="B238" t="s">
        <v>238</v>
      </c>
      <c r="C238" t="s">
        <v>200</v>
      </c>
      <c r="D238" t="s">
        <v>115</v>
      </c>
      <c r="E238" t="s">
        <v>351</v>
      </c>
      <c r="F238">
        <v>2.1</v>
      </c>
      <c r="G238">
        <f ca="1">RANDBETWEEN(0,5)</f>
        <v>4</v>
      </c>
      <c r="H238" t="str">
        <f t="shared" ca="1" si="6"/>
        <v>available</v>
      </c>
      <c r="I238" t="str">
        <f t="shared" ca="1" si="7"/>
        <v>(41,'applesauce','can','vegetable','applesauce is a very nice food and beverage category that is categorized under vegetable cuisine',2.1,4,'available'),</v>
      </c>
    </row>
    <row r="239" spans="1:9" x14ac:dyDescent="0.25">
      <c r="A239">
        <v>41</v>
      </c>
      <c r="B239" t="s">
        <v>293</v>
      </c>
      <c r="C239" t="s">
        <v>200</v>
      </c>
      <c r="D239" t="s">
        <v>115</v>
      </c>
      <c r="E239" t="s">
        <v>370</v>
      </c>
      <c r="F239">
        <v>2.4</v>
      </c>
      <c r="G239">
        <f ca="1">RANDBETWEEN(0,5)</f>
        <v>3</v>
      </c>
      <c r="H239" t="str">
        <f t="shared" ca="1" si="6"/>
        <v>available</v>
      </c>
      <c r="I239" t="str">
        <f t="shared" ca="1" si="7"/>
        <v>(41,'bean sprouts','can','vegetable','bean sprouts is a very nice food and beverage category that is categorized under vegetable cuisine',2.4,3,'available'),</v>
      </c>
    </row>
    <row r="240" spans="1:9" x14ac:dyDescent="0.25">
      <c r="A240">
        <v>41</v>
      </c>
      <c r="B240" t="s">
        <v>268</v>
      </c>
      <c r="C240" t="s">
        <v>200</v>
      </c>
      <c r="D240" t="s">
        <v>115</v>
      </c>
      <c r="E240" t="s">
        <v>355</v>
      </c>
      <c r="F240">
        <v>3.2</v>
      </c>
      <c r="G240">
        <f ca="1">RANDBETWEEN(0,5)</f>
        <v>1</v>
      </c>
      <c r="H240" t="str">
        <f t="shared" ca="1" si="6"/>
        <v>available</v>
      </c>
      <c r="I240" t="str">
        <f t="shared" ca="1" si="7"/>
        <v>(41,'beets','can','vegetable','beets is a very nice food and beverage category that is categorized under vegetable cuisine',3.2,1,'available'),</v>
      </c>
    </row>
    <row r="241" spans="1:9" x14ac:dyDescent="0.25">
      <c r="A241">
        <v>41</v>
      </c>
      <c r="B241" t="s">
        <v>289</v>
      </c>
      <c r="C241" t="s">
        <v>200</v>
      </c>
      <c r="D241" t="s">
        <v>115</v>
      </c>
      <c r="E241" t="s">
        <v>368</v>
      </c>
      <c r="F241">
        <v>2.7</v>
      </c>
      <c r="G241">
        <f ca="1">RANDBETWEEN(0,5)</f>
        <v>3</v>
      </c>
      <c r="H241" t="str">
        <f t="shared" ca="1" si="6"/>
        <v>unavailable</v>
      </c>
      <c r="I241" t="str">
        <f t="shared" ca="1" si="7"/>
        <v>(41,'brussels sprouts','can','vegetable','brussels sprouts is a very nice food and beverage category that is categorized under vegetable cuisine',2.7,3,'unavailable'),</v>
      </c>
    </row>
    <row r="242" spans="1:9" x14ac:dyDescent="0.25">
      <c r="A242">
        <v>41</v>
      </c>
      <c r="B242" t="s">
        <v>287</v>
      </c>
      <c r="C242" t="s">
        <v>200</v>
      </c>
      <c r="D242" t="s">
        <v>115</v>
      </c>
      <c r="E242" t="s">
        <v>327</v>
      </c>
      <c r="F242">
        <v>2</v>
      </c>
      <c r="G242">
        <f ca="1">RANDBETWEEN(0,5)</f>
        <v>0</v>
      </c>
      <c r="H242" t="str">
        <f t="shared" ca="1" si="6"/>
        <v>available</v>
      </c>
      <c r="I242" t="str">
        <f t="shared" ca="1" si="7"/>
        <v>(41,'nectarines','can','vegetable','nectarines is a very nice food and beverage category that is categorized under vegetable cuisine',2,0,'available'),</v>
      </c>
    </row>
    <row r="243" spans="1:9" x14ac:dyDescent="0.25">
      <c r="A243">
        <v>41</v>
      </c>
      <c r="B243" t="s">
        <v>272</v>
      </c>
      <c r="C243" t="s">
        <v>200</v>
      </c>
      <c r="D243" t="s">
        <v>115</v>
      </c>
      <c r="E243" t="s">
        <v>374</v>
      </c>
      <c r="F243">
        <v>3.4</v>
      </c>
      <c r="G243">
        <f ca="1">RANDBETWEEN(0,5)</f>
        <v>4</v>
      </c>
      <c r="H243" t="str">
        <f t="shared" ca="1" si="6"/>
        <v>available</v>
      </c>
      <c r="I243" t="str">
        <f t="shared" ca="1" si="7"/>
        <v>(41,'pea beans','can','vegetable','pea beans is a very nice food and beverage category that is categorized under vegetable cuisine',3.4,4,'available'),</v>
      </c>
    </row>
    <row r="244" spans="1:9" x14ac:dyDescent="0.25">
      <c r="A244">
        <v>41</v>
      </c>
      <c r="B244" t="s">
        <v>270</v>
      </c>
      <c r="C244" t="s">
        <v>202</v>
      </c>
      <c r="D244" t="s">
        <v>113</v>
      </c>
      <c r="E244" t="s">
        <v>313</v>
      </c>
      <c r="F244">
        <v>5.8</v>
      </c>
      <c r="G244">
        <f ca="1">RANDBETWEEN(0,5)</f>
        <v>1</v>
      </c>
      <c r="H244" t="str">
        <f t="shared" ca="1" si="6"/>
        <v>available</v>
      </c>
      <c r="I244" t="str">
        <f t="shared" ca="1" si="7"/>
        <v>(41,'salmon','piece','asian','salmon is a very nice food and beverage category that is categorized under asian cuisine',5.8,1,'available'),</v>
      </c>
    </row>
    <row r="245" spans="1:9" x14ac:dyDescent="0.25">
      <c r="A245">
        <v>41</v>
      </c>
      <c r="B245" t="s">
        <v>294</v>
      </c>
      <c r="C245" t="s">
        <v>201</v>
      </c>
      <c r="D245" t="s">
        <v>115</v>
      </c>
      <c r="E245" t="s">
        <v>348</v>
      </c>
      <c r="F245">
        <v>5.3</v>
      </c>
      <c r="G245">
        <f ca="1">RANDBETWEEN(0,5)</f>
        <v>1</v>
      </c>
      <c r="H245" t="str">
        <f t="shared" ca="1" si="6"/>
        <v>available</v>
      </c>
      <c r="I245" t="str">
        <f t="shared" ca="1" si="7"/>
        <v>(41,'sesame seeds','package','vegetable','sesame seeds is a very nice food and beverage category that is categorized under vegetable cuisine',5.3,1,'available'),</v>
      </c>
    </row>
    <row r="246" spans="1:9" x14ac:dyDescent="0.25">
      <c r="A246">
        <v>42</v>
      </c>
      <c r="B246" t="s">
        <v>267</v>
      </c>
      <c r="C246" t="s">
        <v>201</v>
      </c>
      <c r="D246" t="s">
        <v>114</v>
      </c>
      <c r="E246" t="s">
        <v>331</v>
      </c>
      <c r="F246">
        <v>3.1</v>
      </c>
      <c r="G246">
        <f ca="1">RANDBETWEEN(0,5)</f>
        <v>1</v>
      </c>
      <c r="H246" t="str">
        <f t="shared" ca="1" si="6"/>
        <v>available</v>
      </c>
      <c r="I246" t="str">
        <f t="shared" ca="1" si="7"/>
        <v>(42,'cottage cheese','package','fusion','cottage cheese is a very nice food and beverage category that is categorized under fusion cuisine',3.1,1,'available'),</v>
      </c>
    </row>
    <row r="247" spans="1:9" x14ac:dyDescent="0.25">
      <c r="A247">
        <v>42</v>
      </c>
      <c r="B247" t="s">
        <v>271</v>
      </c>
      <c r="C247" t="s">
        <v>201</v>
      </c>
      <c r="D247" t="s">
        <v>114</v>
      </c>
      <c r="E247" t="s">
        <v>307</v>
      </c>
      <c r="F247">
        <v>2.2000000000000002</v>
      </c>
      <c r="G247">
        <f ca="1">RANDBETWEEN(0,5)</f>
        <v>3</v>
      </c>
      <c r="H247" t="str">
        <f t="shared" ca="1" si="6"/>
        <v>available</v>
      </c>
      <c r="I247" t="str">
        <f t="shared" ca="1" si="7"/>
        <v>(42,'cream cheese','package','fusion','cream cheese is a very nice food and beverage category that is categorized under fusion cuisine',2.2,3,'available'),</v>
      </c>
    </row>
    <row r="248" spans="1:9" x14ac:dyDescent="0.25">
      <c r="A248">
        <v>42</v>
      </c>
      <c r="B248" t="s">
        <v>262</v>
      </c>
      <c r="C248" t="s">
        <v>201</v>
      </c>
      <c r="D248" t="s">
        <v>114</v>
      </c>
      <c r="E248" t="s">
        <v>309</v>
      </c>
      <c r="F248">
        <v>1.7</v>
      </c>
      <c r="G248">
        <f ca="1">RANDBETWEEN(0,5)</f>
        <v>1</v>
      </c>
      <c r="H248" t="str">
        <f t="shared" ca="1" si="6"/>
        <v>available</v>
      </c>
      <c r="I248" t="str">
        <f t="shared" ca="1" si="7"/>
        <v>(42,'feta cheese','package','fusion','feta cheese is a very nice food and beverage category that is categorized under fusion cuisine',1.7,1,'available'),</v>
      </c>
    </row>
    <row r="249" spans="1:9" x14ac:dyDescent="0.25">
      <c r="A249">
        <v>42</v>
      </c>
      <c r="B249" t="s">
        <v>247</v>
      </c>
      <c r="C249" t="s">
        <v>200</v>
      </c>
      <c r="D249" t="s">
        <v>114</v>
      </c>
      <c r="E249" t="s">
        <v>332</v>
      </c>
      <c r="F249">
        <v>2.2000000000000002</v>
      </c>
      <c r="G249">
        <f ca="1">RANDBETWEEN(0,5)</f>
        <v>5</v>
      </c>
      <c r="H249" t="str">
        <f t="shared" ca="1" si="6"/>
        <v>available</v>
      </c>
      <c r="I249" t="str">
        <f t="shared" ca="1" si="7"/>
        <v>(42,'peaches','can','fusion','peaches is a very nice food and beverage category that is categorized under fusion cuisine',2.2,5,'available'),</v>
      </c>
    </row>
    <row r="250" spans="1:9" x14ac:dyDescent="0.25">
      <c r="A250">
        <v>42</v>
      </c>
      <c r="B250" t="s">
        <v>229</v>
      </c>
      <c r="C250" t="s">
        <v>200</v>
      </c>
      <c r="D250" t="s">
        <v>114</v>
      </c>
      <c r="E250" t="s">
        <v>333</v>
      </c>
      <c r="F250">
        <v>3.5</v>
      </c>
      <c r="G250">
        <f ca="1">RANDBETWEEN(0,5)</f>
        <v>4</v>
      </c>
      <c r="H250" t="str">
        <f t="shared" ca="1" si="6"/>
        <v>available</v>
      </c>
      <c r="I250" t="str">
        <f t="shared" ca="1" si="7"/>
        <v>(42,'plantains','can','fusion','plantains is a very nice food and beverage category that is categorized under fusion cuisine',3.5,4,'available'),</v>
      </c>
    </row>
    <row r="251" spans="1:9" x14ac:dyDescent="0.25">
      <c r="A251">
        <v>42</v>
      </c>
      <c r="B251" t="s">
        <v>294</v>
      </c>
      <c r="C251" t="s">
        <v>201</v>
      </c>
      <c r="D251" t="s">
        <v>115</v>
      </c>
      <c r="E251" t="s">
        <v>348</v>
      </c>
      <c r="F251">
        <v>5.3</v>
      </c>
      <c r="G251">
        <f ca="1">RANDBETWEEN(0,5)</f>
        <v>5</v>
      </c>
      <c r="H251" t="str">
        <f t="shared" ca="1" si="6"/>
        <v>available</v>
      </c>
      <c r="I251" t="str">
        <f t="shared" ca="1" si="7"/>
        <v>(42,'sesame seeds','package','vegetable','sesame seeds is a very nice food and beverage category that is categorized under vegetable cuisine',5.3,5,'available'),</v>
      </c>
    </row>
    <row r="252" spans="1:9" x14ac:dyDescent="0.25">
      <c r="A252">
        <v>43</v>
      </c>
      <c r="B252" t="s">
        <v>245</v>
      </c>
      <c r="C252" t="s">
        <v>201</v>
      </c>
      <c r="D252" t="s">
        <v>112</v>
      </c>
      <c r="E252" t="s">
        <v>346</v>
      </c>
      <c r="F252">
        <v>2.2999999999999998</v>
      </c>
      <c r="G252">
        <f ca="1">RANDBETWEEN(0,5)</f>
        <v>3</v>
      </c>
      <c r="H252" t="str">
        <f t="shared" ca="1" si="6"/>
        <v>available</v>
      </c>
      <c r="I252" t="str">
        <f t="shared" ca="1" si="7"/>
        <v>(43,'ale','package','western','ale is a very nice food and beverage category that is categorized under western cuisine',2.3,3,'available'),</v>
      </c>
    </row>
    <row r="253" spans="1:9" x14ac:dyDescent="0.25">
      <c r="A253">
        <v>43</v>
      </c>
      <c r="B253" t="s">
        <v>236</v>
      </c>
      <c r="C253" t="s">
        <v>200</v>
      </c>
      <c r="D253" t="s">
        <v>112</v>
      </c>
      <c r="E253" t="s">
        <v>312</v>
      </c>
      <c r="F253">
        <v>4.8</v>
      </c>
      <c r="G253">
        <f ca="1">RANDBETWEEN(0,5)</f>
        <v>4</v>
      </c>
      <c r="H253" t="str">
        <f t="shared" ca="1" si="6"/>
        <v>available</v>
      </c>
      <c r="I253" t="str">
        <f t="shared" ca="1" si="7"/>
        <v>(43,'bean threads','can','western','bean threads is a very nice food and beverage category that is categorized under western cuisine',4.8,4,'available'),</v>
      </c>
    </row>
    <row r="254" spans="1:9" x14ac:dyDescent="0.25">
      <c r="A254">
        <v>43</v>
      </c>
      <c r="B254" t="s">
        <v>257</v>
      </c>
      <c r="C254" t="s">
        <v>200</v>
      </c>
      <c r="D254" t="s">
        <v>112</v>
      </c>
      <c r="E254" t="s">
        <v>295</v>
      </c>
      <c r="F254">
        <v>2.2000000000000002</v>
      </c>
      <c r="G254">
        <f ca="1">RANDBETWEEN(0,5)</f>
        <v>2</v>
      </c>
      <c r="H254" t="str">
        <f t="shared" ca="1" si="6"/>
        <v>available</v>
      </c>
      <c r="I254" t="str">
        <f t="shared" ca="1" si="7"/>
        <v>(43,'cream of tartar','can','western','cream of tartar is a very nice food and beverage category that is categorized under western cuisine',2.2,2,'available'),</v>
      </c>
    </row>
    <row r="255" spans="1:9" x14ac:dyDescent="0.25">
      <c r="A255">
        <v>43</v>
      </c>
      <c r="B255" t="s">
        <v>235</v>
      </c>
      <c r="C255" t="s">
        <v>202</v>
      </c>
      <c r="D255" t="s">
        <v>112</v>
      </c>
      <c r="E255" t="s">
        <v>336</v>
      </c>
      <c r="F255">
        <v>3.1</v>
      </c>
      <c r="G255">
        <f ca="1">RANDBETWEEN(0,5)</f>
        <v>1</v>
      </c>
      <c r="H255" t="str">
        <f t="shared" ca="1" si="6"/>
        <v>available</v>
      </c>
      <c r="I255" t="str">
        <f t="shared" ca="1" si="7"/>
        <v>(43,'garlic','piece','western','garlic is a very nice food and beverage category that is categorized under western cuisine',3.1,1,'available'),</v>
      </c>
    </row>
    <row r="256" spans="1:9" x14ac:dyDescent="0.25">
      <c r="A256">
        <v>43</v>
      </c>
      <c r="B256" t="s">
        <v>241</v>
      </c>
      <c r="C256" t="s">
        <v>201</v>
      </c>
      <c r="D256" t="s">
        <v>112</v>
      </c>
      <c r="E256" t="s">
        <v>349</v>
      </c>
      <c r="F256">
        <v>4.5999999999999996</v>
      </c>
      <c r="G256">
        <f ca="1">RANDBETWEEN(0,5)</f>
        <v>3</v>
      </c>
      <c r="H256" t="str">
        <f t="shared" ca="1" si="6"/>
        <v>available</v>
      </c>
      <c r="I256" t="str">
        <f t="shared" ca="1" si="7"/>
        <v>(43,'hash browns','package','western','hash browns is a very nice food and beverage category that is categorized under western cuisine',4.6,3,'available'),</v>
      </c>
    </row>
    <row r="257" spans="1:9" x14ac:dyDescent="0.25">
      <c r="A257">
        <v>43</v>
      </c>
      <c r="B257" t="s">
        <v>239</v>
      </c>
      <c r="C257" t="s">
        <v>200</v>
      </c>
      <c r="D257" t="s">
        <v>112</v>
      </c>
      <c r="E257" t="s">
        <v>352</v>
      </c>
      <c r="F257">
        <v>3</v>
      </c>
      <c r="G257">
        <f ca="1">RANDBETWEEN(0,5)</f>
        <v>3</v>
      </c>
      <c r="H257" t="str">
        <f t="shared" ca="1" si="6"/>
        <v>available</v>
      </c>
      <c r="I257" t="str">
        <f t="shared" ca="1" si="7"/>
        <v>(43,'pasta','can','western','pasta is a very nice food and beverage category that is categorized under western cuisine',3,3,'available'),</v>
      </c>
    </row>
    <row r="258" spans="1:9" x14ac:dyDescent="0.25">
      <c r="A258">
        <v>43</v>
      </c>
      <c r="B258" t="s">
        <v>250</v>
      </c>
      <c r="C258" t="s">
        <v>201</v>
      </c>
      <c r="D258" t="s">
        <v>114</v>
      </c>
      <c r="E258" t="s">
        <v>354</v>
      </c>
      <c r="F258">
        <v>3.4</v>
      </c>
      <c r="G258">
        <f ca="1">RANDBETWEEN(0,5)</f>
        <v>2</v>
      </c>
      <c r="H258" t="str">
        <f t="shared" ca="1" si="6"/>
        <v>available</v>
      </c>
      <c r="I258" t="str">
        <f t="shared" ca="1" si="7"/>
        <v>(43,'pumpkin seeds','package','fusion','pumpkin seeds is a very nice food and beverage category that is categorized under fusion cuisine',3.4,2,'available'),</v>
      </c>
    </row>
    <row r="259" spans="1:9" x14ac:dyDescent="0.25">
      <c r="A259">
        <v>44</v>
      </c>
      <c r="B259" t="s">
        <v>233</v>
      </c>
      <c r="C259" t="s">
        <v>201</v>
      </c>
      <c r="D259" t="s">
        <v>112</v>
      </c>
      <c r="E259" t="s">
        <v>321</v>
      </c>
      <c r="F259">
        <v>2.9</v>
      </c>
      <c r="G259">
        <f ca="1">RANDBETWEEN(0,5)</f>
        <v>4</v>
      </c>
      <c r="H259" t="str">
        <f t="shared" ref="H259:H322" ca="1" si="8">IF(RAND()&lt;0.01,"unavailable","available")</f>
        <v>available</v>
      </c>
      <c r="I259" t="str">
        <f t="shared" ref="I259:I322" ca="1" si="9">SqlGenerator(A259:H259)</f>
        <v>(44,'acorn squash','package','western','acorn squash is a very nice food and beverage category that is categorized under western cuisine',2.9,4,'available'),</v>
      </c>
    </row>
    <row r="260" spans="1:9" x14ac:dyDescent="0.25">
      <c r="A260">
        <v>44</v>
      </c>
      <c r="B260" t="s">
        <v>245</v>
      </c>
      <c r="C260" t="s">
        <v>201</v>
      </c>
      <c r="D260" t="s">
        <v>112</v>
      </c>
      <c r="E260" t="s">
        <v>346</v>
      </c>
      <c r="F260">
        <v>2.2999999999999998</v>
      </c>
      <c r="G260">
        <f ca="1">RANDBETWEEN(0,5)</f>
        <v>3</v>
      </c>
      <c r="H260" t="str">
        <f t="shared" ca="1" si="8"/>
        <v>available</v>
      </c>
      <c r="I260" t="str">
        <f t="shared" ca="1" si="9"/>
        <v>(44,'ale','package','western','ale is a very nice food and beverage category that is categorized under western cuisine',2.3,3,'available'),</v>
      </c>
    </row>
    <row r="261" spans="1:9" x14ac:dyDescent="0.25">
      <c r="A261">
        <v>44</v>
      </c>
      <c r="B261" t="s">
        <v>236</v>
      </c>
      <c r="C261" t="s">
        <v>200</v>
      </c>
      <c r="D261" t="s">
        <v>112</v>
      </c>
      <c r="E261" t="s">
        <v>312</v>
      </c>
      <c r="F261">
        <v>4.8</v>
      </c>
      <c r="G261">
        <f ca="1">RANDBETWEEN(0,5)</f>
        <v>2</v>
      </c>
      <c r="H261" t="str">
        <f t="shared" ca="1" si="8"/>
        <v>available</v>
      </c>
      <c r="I261" t="str">
        <f t="shared" ca="1" si="9"/>
        <v>(44,'bean threads','can','western','bean threads is a very nice food and beverage category that is categorized under western cuisine',4.8,2,'available'),</v>
      </c>
    </row>
    <row r="262" spans="1:9" x14ac:dyDescent="0.25">
      <c r="A262">
        <v>44</v>
      </c>
      <c r="B262" t="s">
        <v>260</v>
      </c>
      <c r="C262" t="s">
        <v>202</v>
      </c>
      <c r="D262" t="s">
        <v>112</v>
      </c>
      <c r="E262" t="s">
        <v>339</v>
      </c>
      <c r="F262">
        <v>1.5</v>
      </c>
      <c r="G262">
        <f ca="1">RANDBETWEEN(0,5)</f>
        <v>0</v>
      </c>
      <c r="H262" t="str">
        <f t="shared" ca="1" si="8"/>
        <v>available</v>
      </c>
      <c r="I262" t="str">
        <f t="shared" ca="1" si="9"/>
        <v>(44,'Canadian bacon','piece','western','Canadian bacon is a very nice food and beverage category that is categorized under western cuisine',1.5,0,'available'),</v>
      </c>
    </row>
    <row r="263" spans="1:9" x14ac:dyDescent="0.25">
      <c r="A263">
        <v>44</v>
      </c>
      <c r="B263" t="s">
        <v>219</v>
      </c>
      <c r="C263" t="s">
        <v>200</v>
      </c>
      <c r="D263" t="s">
        <v>112</v>
      </c>
      <c r="E263" t="s">
        <v>328</v>
      </c>
      <c r="F263">
        <v>5.3</v>
      </c>
      <c r="G263">
        <f ca="1">RANDBETWEEN(0,5)</f>
        <v>1</v>
      </c>
      <c r="H263" t="str">
        <f t="shared" ca="1" si="8"/>
        <v>available</v>
      </c>
      <c r="I263" t="str">
        <f t="shared" ca="1" si="9"/>
        <v>(44,'canola oil','can','western','canola oil is a very nice food and beverage category that is categorized under western cuisine',5.3,1,'available'),</v>
      </c>
    </row>
    <row r="264" spans="1:9" x14ac:dyDescent="0.25">
      <c r="A264">
        <v>44</v>
      </c>
      <c r="B264" t="s">
        <v>265</v>
      </c>
      <c r="C264" t="s">
        <v>202</v>
      </c>
      <c r="D264" t="s">
        <v>112</v>
      </c>
      <c r="E264" t="s">
        <v>315</v>
      </c>
      <c r="F264">
        <v>4.5</v>
      </c>
      <c r="G264">
        <f ca="1">RANDBETWEEN(0,5)</f>
        <v>5</v>
      </c>
      <c r="H264" t="str">
        <f t="shared" ca="1" si="8"/>
        <v>unavailable</v>
      </c>
      <c r="I264" t="str">
        <f t="shared" ca="1" si="9"/>
        <v>(44,'steak','piece','western','steak is a very nice food and beverage category that is categorized under western cuisine',4.5,5,'unavailable'),</v>
      </c>
    </row>
    <row r="265" spans="1:9" x14ac:dyDescent="0.25">
      <c r="A265">
        <v>45</v>
      </c>
      <c r="B265" t="s">
        <v>236</v>
      </c>
      <c r="C265" t="s">
        <v>200</v>
      </c>
      <c r="D265" t="s">
        <v>112</v>
      </c>
      <c r="E265" t="s">
        <v>312</v>
      </c>
      <c r="F265">
        <v>4.8</v>
      </c>
      <c r="G265">
        <f ca="1">RANDBETWEEN(0,5)</f>
        <v>1</v>
      </c>
      <c r="H265" t="str">
        <f t="shared" ca="1" si="8"/>
        <v>available</v>
      </c>
      <c r="I265" t="str">
        <f t="shared" ca="1" si="9"/>
        <v>(45,'bean threads','can','western','bean threads is a very nice food and beverage category that is categorized under western cuisine',4.8,1,'available'),</v>
      </c>
    </row>
    <row r="266" spans="1:9" x14ac:dyDescent="0.25">
      <c r="A266">
        <v>45</v>
      </c>
      <c r="B266" t="s">
        <v>257</v>
      </c>
      <c r="C266" t="s">
        <v>200</v>
      </c>
      <c r="D266" t="s">
        <v>112</v>
      </c>
      <c r="E266" t="s">
        <v>295</v>
      </c>
      <c r="F266">
        <v>2.2000000000000002</v>
      </c>
      <c r="G266">
        <f ca="1">RANDBETWEEN(0,5)</f>
        <v>3</v>
      </c>
      <c r="H266" t="str">
        <f t="shared" ca="1" si="8"/>
        <v>available</v>
      </c>
      <c r="I266" t="str">
        <f t="shared" ca="1" si="9"/>
        <v>(45,'cream of tartar','can','western','cream of tartar is a very nice food and beverage category that is categorized under western cuisine',2.2,3,'available'),</v>
      </c>
    </row>
    <row r="267" spans="1:9" x14ac:dyDescent="0.25">
      <c r="A267">
        <v>45</v>
      </c>
      <c r="B267" t="s">
        <v>235</v>
      </c>
      <c r="C267" t="s">
        <v>202</v>
      </c>
      <c r="D267" t="s">
        <v>112</v>
      </c>
      <c r="E267" t="s">
        <v>336</v>
      </c>
      <c r="F267">
        <v>3.1</v>
      </c>
      <c r="G267">
        <f ca="1">RANDBETWEEN(0,5)</f>
        <v>0</v>
      </c>
      <c r="H267" t="str">
        <f t="shared" ca="1" si="8"/>
        <v>available</v>
      </c>
      <c r="I267" t="str">
        <f t="shared" ca="1" si="9"/>
        <v>(45,'garlic','piece','western','garlic is a very nice food and beverage category that is categorized under western cuisine',3.1,0,'available'),</v>
      </c>
    </row>
    <row r="268" spans="1:9" x14ac:dyDescent="0.25">
      <c r="A268">
        <v>45</v>
      </c>
      <c r="B268" t="s">
        <v>241</v>
      </c>
      <c r="C268" t="s">
        <v>201</v>
      </c>
      <c r="D268" t="s">
        <v>112</v>
      </c>
      <c r="E268" t="s">
        <v>349</v>
      </c>
      <c r="F268">
        <v>4.5999999999999996</v>
      </c>
      <c r="G268">
        <f ca="1">RANDBETWEEN(0,5)</f>
        <v>1</v>
      </c>
      <c r="H268" t="str">
        <f t="shared" ca="1" si="8"/>
        <v>available</v>
      </c>
      <c r="I268" t="str">
        <f t="shared" ca="1" si="9"/>
        <v>(45,'hash browns','package','western','hash browns is a very nice food and beverage category that is categorized under western cuisine',4.6,1,'available'),</v>
      </c>
    </row>
    <row r="269" spans="1:9" x14ac:dyDescent="0.25">
      <c r="A269">
        <v>45</v>
      </c>
      <c r="B269" t="s">
        <v>244</v>
      </c>
      <c r="C269" t="s">
        <v>202</v>
      </c>
      <c r="D269" t="s">
        <v>112</v>
      </c>
      <c r="E269" t="s">
        <v>353</v>
      </c>
      <c r="F269">
        <v>5</v>
      </c>
      <c r="G269">
        <f ca="1">RANDBETWEEN(0,5)</f>
        <v>0</v>
      </c>
      <c r="H269" t="str">
        <f t="shared" ca="1" si="8"/>
        <v>available</v>
      </c>
      <c r="I269" t="str">
        <f t="shared" ca="1" si="9"/>
        <v>(45,'lobsters','piece','western','lobsters is a very nice food and beverage category that is categorized under western cuisine',5,0,'available'),</v>
      </c>
    </row>
    <row r="270" spans="1:9" x14ac:dyDescent="0.25">
      <c r="A270">
        <v>45</v>
      </c>
      <c r="B270" t="s">
        <v>220</v>
      </c>
      <c r="C270" t="s">
        <v>200</v>
      </c>
      <c r="D270" t="s">
        <v>112</v>
      </c>
      <c r="E270" t="s">
        <v>350</v>
      </c>
      <c r="F270">
        <v>3.7</v>
      </c>
      <c r="G270">
        <f ca="1">RANDBETWEEN(0,5)</f>
        <v>1</v>
      </c>
      <c r="H270" t="str">
        <f t="shared" ca="1" si="8"/>
        <v>available</v>
      </c>
      <c r="I270" t="str">
        <f t="shared" ca="1" si="9"/>
        <v>(45,'poppy seeds','can','western','poppy seeds is a very nice food and beverage category that is categorized under western cuisine',3.7,1,'available'),</v>
      </c>
    </row>
    <row r="271" spans="1:9" x14ac:dyDescent="0.25">
      <c r="A271">
        <v>46</v>
      </c>
      <c r="B271" t="s">
        <v>238</v>
      </c>
      <c r="C271" t="s">
        <v>200</v>
      </c>
      <c r="D271" t="s">
        <v>115</v>
      </c>
      <c r="E271" t="s">
        <v>351</v>
      </c>
      <c r="F271">
        <v>2.1</v>
      </c>
      <c r="G271">
        <f ca="1">RANDBETWEEN(0,5)</f>
        <v>3</v>
      </c>
      <c r="H271" t="str">
        <f t="shared" ca="1" si="8"/>
        <v>available</v>
      </c>
      <c r="I271" t="str">
        <f t="shared" ca="1" si="9"/>
        <v>(46,'applesauce','can','vegetable','applesauce is a very nice food and beverage category that is categorized under vegetable cuisine',2.1,3,'available'),</v>
      </c>
    </row>
    <row r="272" spans="1:9" x14ac:dyDescent="0.25">
      <c r="A272">
        <v>46</v>
      </c>
      <c r="B272" t="s">
        <v>268</v>
      </c>
      <c r="C272" t="s">
        <v>200</v>
      </c>
      <c r="D272" t="s">
        <v>115</v>
      </c>
      <c r="E272" t="s">
        <v>355</v>
      </c>
      <c r="F272">
        <v>3.2</v>
      </c>
      <c r="G272">
        <f ca="1">RANDBETWEEN(0,5)</f>
        <v>5</v>
      </c>
      <c r="H272" t="str">
        <f t="shared" ca="1" si="8"/>
        <v>available</v>
      </c>
      <c r="I272" t="str">
        <f t="shared" ca="1" si="9"/>
        <v>(46,'beets','can','vegetable','beets is a very nice food and beverage category that is categorized under vegetable cuisine',3.2,5,'available'),</v>
      </c>
    </row>
    <row r="273" spans="1:9" x14ac:dyDescent="0.25">
      <c r="A273">
        <v>46</v>
      </c>
      <c r="B273" t="s">
        <v>276</v>
      </c>
      <c r="C273" t="s">
        <v>200</v>
      </c>
      <c r="D273" t="s">
        <v>115</v>
      </c>
      <c r="E273" t="s">
        <v>360</v>
      </c>
      <c r="F273">
        <v>3.7</v>
      </c>
      <c r="G273">
        <f ca="1">RANDBETWEEN(0,5)</f>
        <v>0</v>
      </c>
      <c r="H273" t="str">
        <f t="shared" ca="1" si="8"/>
        <v>available</v>
      </c>
      <c r="I273" t="str">
        <f t="shared" ca="1" si="9"/>
        <v>(46,'berries','can','vegetable','berries is a very nice food and beverage category that is categorized under vegetable cuisine',3.7,0,'available'),</v>
      </c>
    </row>
    <row r="274" spans="1:9" x14ac:dyDescent="0.25">
      <c r="A274">
        <v>46</v>
      </c>
      <c r="B274" t="s">
        <v>280</v>
      </c>
      <c r="C274" t="s">
        <v>200</v>
      </c>
      <c r="D274" t="s">
        <v>115</v>
      </c>
      <c r="E274" t="s">
        <v>299</v>
      </c>
      <c r="F274">
        <v>3.9</v>
      </c>
      <c r="G274">
        <f ca="1">RANDBETWEEN(0,5)</f>
        <v>3</v>
      </c>
      <c r="H274" t="str">
        <f t="shared" ca="1" si="8"/>
        <v>available</v>
      </c>
      <c r="I274" t="str">
        <f t="shared" ca="1" si="9"/>
        <v>(46,'cornstarch','can','vegetable','cornstarch is a very nice food and beverage category that is categorized under vegetable cuisine',3.9,3,'available'),</v>
      </c>
    </row>
    <row r="275" spans="1:9" x14ac:dyDescent="0.25">
      <c r="A275">
        <v>46</v>
      </c>
      <c r="B275" t="s">
        <v>291</v>
      </c>
      <c r="C275" t="s">
        <v>200</v>
      </c>
      <c r="D275" t="s">
        <v>115</v>
      </c>
      <c r="E275" t="s">
        <v>329</v>
      </c>
      <c r="F275">
        <v>1.6</v>
      </c>
      <c r="G275">
        <f ca="1">RANDBETWEEN(0,5)</f>
        <v>1</v>
      </c>
      <c r="H275" t="str">
        <f t="shared" ca="1" si="8"/>
        <v>available</v>
      </c>
      <c r="I275" t="str">
        <f t="shared" ca="1" si="9"/>
        <v>(46,'flax seed','can','vegetable','flax seed is a very nice food and beverage category that is categorized under vegetable cuisine',1.6,1,'available'),</v>
      </c>
    </row>
    <row r="276" spans="1:9" x14ac:dyDescent="0.25">
      <c r="A276">
        <v>46</v>
      </c>
      <c r="B276" t="s">
        <v>287</v>
      </c>
      <c r="C276" t="s">
        <v>200</v>
      </c>
      <c r="D276" t="s">
        <v>115</v>
      </c>
      <c r="E276" t="s">
        <v>327</v>
      </c>
      <c r="F276">
        <v>2</v>
      </c>
      <c r="G276">
        <f ca="1">RANDBETWEEN(0,5)</f>
        <v>2</v>
      </c>
      <c r="H276" t="str">
        <f t="shared" ca="1" si="8"/>
        <v>available</v>
      </c>
      <c r="I276" t="str">
        <f t="shared" ca="1" si="9"/>
        <v>(46,'nectarines','can','vegetable','nectarines is a very nice food and beverage category that is categorized under vegetable cuisine',2,2,'available'),</v>
      </c>
    </row>
    <row r="277" spans="1:9" x14ac:dyDescent="0.25">
      <c r="A277">
        <v>46</v>
      </c>
      <c r="B277" t="s">
        <v>220</v>
      </c>
      <c r="C277" t="s">
        <v>200</v>
      </c>
      <c r="D277" t="s">
        <v>112</v>
      </c>
      <c r="E277" t="s">
        <v>350</v>
      </c>
      <c r="F277">
        <v>3.7</v>
      </c>
      <c r="G277">
        <f ca="1">RANDBETWEEN(0,5)</f>
        <v>0</v>
      </c>
      <c r="H277" t="str">
        <f t="shared" ca="1" si="8"/>
        <v>available</v>
      </c>
      <c r="I277" t="str">
        <f t="shared" ca="1" si="9"/>
        <v>(46,'poppy seeds','can','western','poppy seeds is a very nice food and beverage category that is categorized under western cuisine',3.7,0,'available'),</v>
      </c>
    </row>
    <row r="278" spans="1:9" x14ac:dyDescent="0.25">
      <c r="A278">
        <v>47</v>
      </c>
      <c r="B278" t="s">
        <v>258</v>
      </c>
      <c r="C278" t="s">
        <v>201</v>
      </c>
      <c r="D278" t="s">
        <v>114</v>
      </c>
      <c r="E278" t="s">
        <v>298</v>
      </c>
      <c r="F278">
        <v>2.2000000000000002</v>
      </c>
      <c r="G278">
        <f ca="1">RANDBETWEEN(0,5)</f>
        <v>3</v>
      </c>
      <c r="H278" t="str">
        <f t="shared" ca="1" si="8"/>
        <v>available</v>
      </c>
      <c r="I278" t="str">
        <f t="shared" ca="1" si="9"/>
        <v>(47,'colby cheese','package','fusion','colby cheese is a very nice food and beverage category that is categorized under fusion cuisine',2.2,3,'available'),</v>
      </c>
    </row>
    <row r="279" spans="1:9" x14ac:dyDescent="0.25">
      <c r="A279">
        <v>47</v>
      </c>
      <c r="B279" t="s">
        <v>248</v>
      </c>
      <c r="C279" t="s">
        <v>200</v>
      </c>
      <c r="D279" t="s">
        <v>114</v>
      </c>
      <c r="E279" t="s">
        <v>297</v>
      </c>
      <c r="F279">
        <v>1.5</v>
      </c>
      <c r="G279">
        <f ca="1">RANDBETWEEN(0,5)</f>
        <v>4</v>
      </c>
      <c r="H279" t="str">
        <f t="shared" ca="1" si="8"/>
        <v>available</v>
      </c>
      <c r="I279" t="str">
        <f t="shared" ca="1" si="9"/>
        <v>(47,'coriander','can','fusion','coriander is a very nice food and beverage category that is categorized under fusion cuisine',1.5,4,'available'),</v>
      </c>
    </row>
    <row r="280" spans="1:9" x14ac:dyDescent="0.25">
      <c r="A280">
        <v>47</v>
      </c>
      <c r="B280" t="s">
        <v>267</v>
      </c>
      <c r="C280" t="s">
        <v>201</v>
      </c>
      <c r="D280" t="s">
        <v>114</v>
      </c>
      <c r="E280" t="s">
        <v>331</v>
      </c>
      <c r="F280">
        <v>3.1</v>
      </c>
      <c r="G280">
        <f ca="1">RANDBETWEEN(0,5)</f>
        <v>2</v>
      </c>
      <c r="H280" t="str">
        <f t="shared" ca="1" si="8"/>
        <v>available</v>
      </c>
      <c r="I280" t="str">
        <f t="shared" ca="1" si="9"/>
        <v>(47,'cottage cheese','package','fusion','cottage cheese is a very nice food and beverage category that is categorized under fusion cuisine',3.1,2,'available'),</v>
      </c>
    </row>
    <row r="281" spans="1:9" x14ac:dyDescent="0.25">
      <c r="A281">
        <v>47</v>
      </c>
      <c r="B281" t="s">
        <v>271</v>
      </c>
      <c r="C281" t="s">
        <v>201</v>
      </c>
      <c r="D281" t="s">
        <v>114</v>
      </c>
      <c r="E281" t="s">
        <v>307</v>
      </c>
      <c r="F281">
        <v>2.2000000000000002</v>
      </c>
      <c r="G281">
        <f ca="1">RANDBETWEEN(0,5)</f>
        <v>3</v>
      </c>
      <c r="H281" t="str">
        <f t="shared" ca="1" si="8"/>
        <v>available</v>
      </c>
      <c r="I281" t="str">
        <f t="shared" ca="1" si="9"/>
        <v>(47,'cream cheese','package','fusion','cream cheese is a very nice food and beverage category that is categorized under fusion cuisine',2.2,3,'available'),</v>
      </c>
    </row>
    <row r="282" spans="1:9" x14ac:dyDescent="0.25">
      <c r="A282">
        <v>47</v>
      </c>
      <c r="B282" t="s">
        <v>262</v>
      </c>
      <c r="C282" t="s">
        <v>201</v>
      </c>
      <c r="D282" t="s">
        <v>114</v>
      </c>
      <c r="E282" t="s">
        <v>309</v>
      </c>
      <c r="F282">
        <v>1.7</v>
      </c>
      <c r="G282">
        <f ca="1">RANDBETWEEN(0,5)</f>
        <v>5</v>
      </c>
      <c r="H282" t="str">
        <f t="shared" ca="1" si="8"/>
        <v>available</v>
      </c>
      <c r="I282" t="str">
        <f t="shared" ca="1" si="9"/>
        <v>(47,'feta cheese','package','fusion','feta cheese is a very nice food and beverage category that is categorized under fusion cuisine',1.7,5,'available'),</v>
      </c>
    </row>
    <row r="283" spans="1:9" x14ac:dyDescent="0.25">
      <c r="A283">
        <v>47</v>
      </c>
      <c r="B283" t="s">
        <v>249</v>
      </c>
      <c r="C283" t="s">
        <v>200</v>
      </c>
      <c r="D283" t="s">
        <v>114</v>
      </c>
      <c r="E283" t="s">
        <v>361</v>
      </c>
      <c r="F283">
        <v>1</v>
      </c>
      <c r="G283">
        <f ca="1">RANDBETWEEN(0,5)</f>
        <v>1</v>
      </c>
      <c r="H283" t="str">
        <f t="shared" ca="1" si="8"/>
        <v>available</v>
      </c>
      <c r="I283" t="str">
        <f t="shared" ca="1" si="9"/>
        <v>(47,'hot sauce','can','fusion','hot sauce is a very nice food and beverage category that is categorized under fusion cuisine',1,1,'available'),</v>
      </c>
    </row>
    <row r="284" spans="1:9" x14ac:dyDescent="0.25">
      <c r="A284">
        <v>47</v>
      </c>
      <c r="B284" t="s">
        <v>255</v>
      </c>
      <c r="C284" t="s">
        <v>200</v>
      </c>
      <c r="D284" t="s">
        <v>115</v>
      </c>
      <c r="E284" t="s">
        <v>372</v>
      </c>
      <c r="F284">
        <v>4.0999999999999996</v>
      </c>
      <c r="G284">
        <f ca="1">RANDBETWEEN(0,5)</f>
        <v>4</v>
      </c>
      <c r="H284" t="str">
        <f t="shared" ca="1" si="8"/>
        <v>available</v>
      </c>
      <c r="I284" t="str">
        <f t="shared" ca="1" si="9"/>
        <v>(47,'pinto beans','can','vegetable','pinto beans is a very nice food and beverage category that is categorized under vegetable cuisine',4.1,4,'available'),</v>
      </c>
    </row>
    <row r="285" spans="1:9" x14ac:dyDescent="0.25">
      <c r="A285">
        <v>47</v>
      </c>
      <c r="B285" t="s">
        <v>229</v>
      </c>
      <c r="C285" t="s">
        <v>200</v>
      </c>
      <c r="D285" t="s">
        <v>114</v>
      </c>
      <c r="E285" t="s">
        <v>333</v>
      </c>
      <c r="F285">
        <v>3.5</v>
      </c>
      <c r="G285">
        <f ca="1">RANDBETWEEN(0,5)</f>
        <v>3</v>
      </c>
      <c r="H285" t="str">
        <f t="shared" ca="1" si="8"/>
        <v>available</v>
      </c>
      <c r="I285" t="str">
        <f t="shared" ca="1" si="9"/>
        <v>(47,'plantains','can','fusion','plantains is a very nice food and beverage category that is categorized under fusion cuisine',3.5,3,'available'),</v>
      </c>
    </row>
    <row r="286" spans="1:9" x14ac:dyDescent="0.25">
      <c r="A286">
        <v>48</v>
      </c>
      <c r="B286" t="s">
        <v>258</v>
      </c>
      <c r="C286" t="s">
        <v>201</v>
      </c>
      <c r="D286" t="s">
        <v>114</v>
      </c>
      <c r="E286" t="s">
        <v>298</v>
      </c>
      <c r="F286">
        <v>2.2000000000000002</v>
      </c>
      <c r="G286">
        <f ca="1">RANDBETWEEN(0,5)</f>
        <v>0</v>
      </c>
      <c r="H286" t="str">
        <f t="shared" ca="1" si="8"/>
        <v>available</v>
      </c>
      <c r="I286" t="str">
        <f t="shared" ca="1" si="9"/>
        <v>(48,'colby cheese','package','fusion','colby cheese is a very nice food and beverage category that is categorized under fusion cuisine',2.2,0,'available'),</v>
      </c>
    </row>
    <row r="287" spans="1:9" x14ac:dyDescent="0.25">
      <c r="A287">
        <v>48</v>
      </c>
      <c r="B287" t="s">
        <v>248</v>
      </c>
      <c r="C287" t="s">
        <v>200</v>
      </c>
      <c r="D287" t="s">
        <v>114</v>
      </c>
      <c r="E287" t="s">
        <v>297</v>
      </c>
      <c r="F287">
        <v>1.5</v>
      </c>
      <c r="G287">
        <f ca="1">RANDBETWEEN(0,5)</f>
        <v>5</v>
      </c>
      <c r="H287" t="str">
        <f t="shared" ca="1" si="8"/>
        <v>available</v>
      </c>
      <c r="I287" t="str">
        <f t="shared" ca="1" si="9"/>
        <v>(48,'coriander','can','fusion','coriander is a very nice food and beverage category that is categorized under fusion cuisine',1.5,5,'available'),</v>
      </c>
    </row>
    <row r="288" spans="1:9" x14ac:dyDescent="0.25">
      <c r="A288">
        <v>48</v>
      </c>
      <c r="B288" t="s">
        <v>267</v>
      </c>
      <c r="C288" t="s">
        <v>201</v>
      </c>
      <c r="D288" t="s">
        <v>114</v>
      </c>
      <c r="E288" t="s">
        <v>331</v>
      </c>
      <c r="F288">
        <v>3.1</v>
      </c>
      <c r="G288">
        <f ca="1">RANDBETWEEN(0,5)</f>
        <v>0</v>
      </c>
      <c r="H288" t="str">
        <f t="shared" ca="1" si="8"/>
        <v>available</v>
      </c>
      <c r="I288" t="str">
        <f t="shared" ca="1" si="9"/>
        <v>(48,'cottage cheese','package','fusion','cottage cheese is a very nice food and beverage category that is categorized under fusion cuisine',3.1,0,'available'),</v>
      </c>
    </row>
    <row r="289" spans="1:9" x14ac:dyDescent="0.25">
      <c r="A289">
        <v>48</v>
      </c>
      <c r="B289" t="s">
        <v>271</v>
      </c>
      <c r="C289" t="s">
        <v>201</v>
      </c>
      <c r="D289" t="s">
        <v>114</v>
      </c>
      <c r="E289" t="s">
        <v>307</v>
      </c>
      <c r="F289">
        <v>2.2000000000000002</v>
      </c>
      <c r="G289">
        <f ca="1">RANDBETWEEN(0,5)</f>
        <v>4</v>
      </c>
      <c r="H289" t="str">
        <f t="shared" ca="1" si="8"/>
        <v>available</v>
      </c>
      <c r="I289" t="str">
        <f t="shared" ca="1" si="9"/>
        <v>(48,'cream cheese','package','fusion','cream cheese is a very nice food and beverage category that is categorized under fusion cuisine',2.2,4,'available'),</v>
      </c>
    </row>
    <row r="290" spans="1:9" x14ac:dyDescent="0.25">
      <c r="A290">
        <v>48</v>
      </c>
      <c r="B290" t="s">
        <v>226</v>
      </c>
      <c r="C290" t="s">
        <v>202</v>
      </c>
      <c r="D290" t="s">
        <v>114</v>
      </c>
      <c r="E290" t="s">
        <v>305</v>
      </c>
      <c r="F290">
        <v>8.3000000000000007</v>
      </c>
      <c r="G290">
        <f ca="1">RANDBETWEEN(0,5)</f>
        <v>4</v>
      </c>
      <c r="H290" t="str">
        <f t="shared" ca="1" si="8"/>
        <v>available</v>
      </c>
      <c r="I290" t="str">
        <f t="shared" ca="1" si="9"/>
        <v>(48,'mackerel','piece','fusion','mackerel is a very nice food and beverage category that is categorized under fusion cuisine',8.3,4,'available'),</v>
      </c>
    </row>
    <row r="291" spans="1:9" x14ac:dyDescent="0.25">
      <c r="A291">
        <v>48</v>
      </c>
      <c r="B291" t="s">
        <v>250</v>
      </c>
      <c r="C291" t="s">
        <v>201</v>
      </c>
      <c r="D291" t="s">
        <v>114</v>
      </c>
      <c r="E291" t="s">
        <v>354</v>
      </c>
      <c r="F291">
        <v>3.4</v>
      </c>
      <c r="G291">
        <f ca="1">RANDBETWEEN(0,5)</f>
        <v>3</v>
      </c>
      <c r="H291" t="str">
        <f t="shared" ca="1" si="8"/>
        <v>available</v>
      </c>
      <c r="I291" t="str">
        <f t="shared" ca="1" si="9"/>
        <v>(48,'pumpkin seeds','package','fusion','pumpkin seeds is a very nice food and beverage category that is categorized under fusion cuisine',3.4,3,'available'),</v>
      </c>
    </row>
    <row r="292" spans="1:9" x14ac:dyDescent="0.25">
      <c r="A292">
        <v>48</v>
      </c>
      <c r="B292" t="s">
        <v>228</v>
      </c>
      <c r="C292" t="s">
        <v>201</v>
      </c>
      <c r="D292" t="s">
        <v>114</v>
      </c>
      <c r="E292" t="s">
        <v>319</v>
      </c>
      <c r="F292">
        <v>2</v>
      </c>
      <c r="G292">
        <f ca="1">RANDBETWEEN(0,5)</f>
        <v>2</v>
      </c>
      <c r="H292" t="str">
        <f t="shared" ca="1" si="8"/>
        <v>available</v>
      </c>
      <c r="I292" t="str">
        <f t="shared" ca="1" si="9"/>
        <v>(48,'red pepper flakes','package','fusion','red pepper flakes is a very nice food and beverage category that is categorized under fusion cuisine',2,2,'available'),</v>
      </c>
    </row>
    <row r="293" spans="1:9" x14ac:dyDescent="0.25">
      <c r="A293">
        <v>49</v>
      </c>
      <c r="B293" t="s">
        <v>227</v>
      </c>
      <c r="C293" t="s">
        <v>201</v>
      </c>
      <c r="D293" t="s">
        <v>114</v>
      </c>
      <c r="E293" t="s">
        <v>325</v>
      </c>
      <c r="F293">
        <v>2.5</v>
      </c>
      <c r="G293">
        <f t="shared" ref="G293:G356" ca="1" si="10">RANDBETWEEN(0,5)</f>
        <v>1</v>
      </c>
      <c r="H293" t="str">
        <f t="shared" ca="1" si="8"/>
        <v>unavailable</v>
      </c>
      <c r="I293" t="str">
        <f t="shared" ca="1" si="9"/>
        <v>(49,'apples','package','fusion','apples is a very nice food and beverage category that is categorized under fusion cuisine',2.5,1,'unavailable'),</v>
      </c>
    </row>
    <row r="294" spans="1:9" x14ac:dyDescent="0.25">
      <c r="A294">
        <v>49</v>
      </c>
      <c r="B294" t="s">
        <v>229</v>
      </c>
      <c r="C294" t="s">
        <v>200</v>
      </c>
      <c r="D294" t="s">
        <v>114</v>
      </c>
      <c r="E294" t="s">
        <v>333</v>
      </c>
      <c r="F294">
        <v>3.5</v>
      </c>
      <c r="G294">
        <f t="shared" ca="1" si="10"/>
        <v>5</v>
      </c>
      <c r="H294" t="str">
        <f t="shared" ca="1" si="8"/>
        <v>available</v>
      </c>
      <c r="I294" t="str">
        <f t="shared" ca="1" si="9"/>
        <v>(49,'plantains','can','fusion','plantains is a very nice food and beverage category that is categorized under fusion cuisine',3.5,5,'available'),</v>
      </c>
    </row>
    <row r="295" spans="1:9" x14ac:dyDescent="0.25">
      <c r="A295">
        <v>49</v>
      </c>
      <c r="B295" t="s">
        <v>250</v>
      </c>
      <c r="C295" t="s">
        <v>201</v>
      </c>
      <c r="D295" t="s">
        <v>114</v>
      </c>
      <c r="E295" t="s">
        <v>354</v>
      </c>
      <c r="F295">
        <v>3.4</v>
      </c>
      <c r="G295">
        <f t="shared" ca="1" si="10"/>
        <v>3</v>
      </c>
      <c r="H295" t="str">
        <f t="shared" ca="1" si="8"/>
        <v>available</v>
      </c>
      <c r="I295" t="str">
        <f t="shared" ca="1" si="9"/>
        <v>(49,'pumpkin seeds','package','fusion','pumpkin seeds is a very nice food and beverage category that is categorized under fusion cuisine',3.4,3,'available'),</v>
      </c>
    </row>
    <row r="296" spans="1:9" x14ac:dyDescent="0.25">
      <c r="A296">
        <v>49</v>
      </c>
      <c r="B296" t="s">
        <v>228</v>
      </c>
      <c r="C296" t="s">
        <v>201</v>
      </c>
      <c r="D296" t="s">
        <v>114</v>
      </c>
      <c r="E296" t="s">
        <v>319</v>
      </c>
      <c r="F296">
        <v>2</v>
      </c>
      <c r="G296">
        <f t="shared" ca="1" si="10"/>
        <v>3</v>
      </c>
      <c r="H296" t="str">
        <f t="shared" ca="1" si="8"/>
        <v>available</v>
      </c>
      <c r="I296" t="str">
        <f t="shared" ca="1" si="9"/>
        <v>(49,'red pepper flakes','package','fusion','red pepper flakes is a very nice food and beverage category that is categorized under fusion cuisine',2,3,'available'),</v>
      </c>
    </row>
    <row r="297" spans="1:9" x14ac:dyDescent="0.25">
      <c r="A297">
        <v>49</v>
      </c>
      <c r="B297" t="s">
        <v>275</v>
      </c>
      <c r="C297" t="s">
        <v>201</v>
      </c>
      <c r="D297" t="s">
        <v>114</v>
      </c>
      <c r="E297" t="s">
        <v>330</v>
      </c>
      <c r="F297">
        <v>1.4</v>
      </c>
      <c r="G297">
        <f t="shared" ca="1" si="10"/>
        <v>2</v>
      </c>
      <c r="H297" t="str">
        <f t="shared" ca="1" si="8"/>
        <v>available</v>
      </c>
      <c r="I297" t="str">
        <f t="shared" ca="1" si="9"/>
        <v>(49,'ricotta cheese','package','fusion','ricotta cheese is a very nice food and beverage category that is categorized under fusion cuisine',1.4,2,'available'),</v>
      </c>
    </row>
    <row r="298" spans="1:9" x14ac:dyDescent="0.25">
      <c r="A298">
        <v>49</v>
      </c>
      <c r="B298" t="s">
        <v>230</v>
      </c>
      <c r="C298" t="s">
        <v>201</v>
      </c>
      <c r="D298" t="s">
        <v>114</v>
      </c>
      <c r="E298" t="s">
        <v>308</v>
      </c>
      <c r="F298">
        <v>4</v>
      </c>
      <c r="G298">
        <f t="shared" ca="1" si="10"/>
        <v>5</v>
      </c>
      <c r="H298" t="str">
        <f t="shared" ca="1" si="8"/>
        <v>available</v>
      </c>
      <c r="I298" t="str">
        <f t="shared" ca="1" si="9"/>
        <v>(49,'spearmint','package','fusion','spearmint is a very nice food and beverage category that is categorized under fusion cuisine',4,5,'available'),</v>
      </c>
    </row>
    <row r="299" spans="1:9" x14ac:dyDescent="0.25">
      <c r="A299">
        <v>50</v>
      </c>
      <c r="B299" t="s">
        <v>227</v>
      </c>
      <c r="C299" t="s">
        <v>201</v>
      </c>
      <c r="D299" t="s">
        <v>114</v>
      </c>
      <c r="E299" t="s">
        <v>325</v>
      </c>
      <c r="F299">
        <v>2.5</v>
      </c>
      <c r="G299">
        <f t="shared" ca="1" si="10"/>
        <v>1</v>
      </c>
      <c r="H299" t="str">
        <f t="shared" ca="1" si="8"/>
        <v>available</v>
      </c>
      <c r="I299" t="str">
        <f t="shared" ca="1" si="9"/>
        <v>(50,'apples','package','fusion','apples is a very nice food and beverage category that is categorized under fusion cuisine',2.5,1,'available'),</v>
      </c>
    </row>
    <row r="300" spans="1:9" x14ac:dyDescent="0.25">
      <c r="A300">
        <v>50</v>
      </c>
      <c r="B300" t="s">
        <v>258</v>
      </c>
      <c r="C300" t="s">
        <v>201</v>
      </c>
      <c r="D300" t="s">
        <v>114</v>
      </c>
      <c r="E300" t="s">
        <v>298</v>
      </c>
      <c r="F300">
        <v>2.2000000000000002</v>
      </c>
      <c r="G300">
        <f t="shared" ca="1" si="10"/>
        <v>3</v>
      </c>
      <c r="H300" t="str">
        <f t="shared" ca="1" si="8"/>
        <v>available</v>
      </c>
      <c r="I300" t="str">
        <f t="shared" ca="1" si="9"/>
        <v>(50,'colby cheese','package','fusion','colby cheese is a very nice food and beverage category that is categorized under fusion cuisine',2.2,3,'available'),</v>
      </c>
    </row>
    <row r="301" spans="1:9" x14ac:dyDescent="0.25">
      <c r="A301">
        <v>50</v>
      </c>
      <c r="B301" t="s">
        <v>267</v>
      </c>
      <c r="C301" t="s">
        <v>201</v>
      </c>
      <c r="D301" t="s">
        <v>114</v>
      </c>
      <c r="E301" t="s">
        <v>331</v>
      </c>
      <c r="F301">
        <v>3.1</v>
      </c>
      <c r="G301">
        <f t="shared" ca="1" si="10"/>
        <v>4</v>
      </c>
      <c r="H301" t="str">
        <f t="shared" ca="1" si="8"/>
        <v>available</v>
      </c>
      <c r="I301" t="str">
        <f t="shared" ca="1" si="9"/>
        <v>(50,'cottage cheese','package','fusion','cottage cheese is a very nice food and beverage category that is categorized under fusion cuisine',3.1,4,'available'),</v>
      </c>
    </row>
    <row r="302" spans="1:9" x14ac:dyDescent="0.25">
      <c r="A302">
        <v>50</v>
      </c>
      <c r="B302" t="s">
        <v>262</v>
      </c>
      <c r="C302" t="s">
        <v>201</v>
      </c>
      <c r="D302" t="s">
        <v>114</v>
      </c>
      <c r="E302" t="s">
        <v>309</v>
      </c>
      <c r="F302">
        <v>1.7</v>
      </c>
      <c r="G302">
        <f t="shared" ca="1" si="10"/>
        <v>0</v>
      </c>
      <c r="H302" t="str">
        <f t="shared" ca="1" si="8"/>
        <v>available</v>
      </c>
      <c r="I302" t="str">
        <f t="shared" ca="1" si="9"/>
        <v>(50,'feta cheese','package','fusion','feta cheese is a very nice food and beverage category that is categorized under fusion cuisine',1.7,0,'available'),</v>
      </c>
    </row>
    <row r="303" spans="1:9" x14ac:dyDescent="0.25">
      <c r="A303">
        <v>50</v>
      </c>
      <c r="B303" t="s">
        <v>226</v>
      </c>
      <c r="C303" t="s">
        <v>202</v>
      </c>
      <c r="D303" t="s">
        <v>114</v>
      </c>
      <c r="E303" t="s">
        <v>305</v>
      </c>
      <c r="F303">
        <v>8.3000000000000007</v>
      </c>
      <c r="G303">
        <f t="shared" ca="1" si="10"/>
        <v>0</v>
      </c>
      <c r="H303" t="str">
        <f t="shared" ca="1" si="8"/>
        <v>available</v>
      </c>
      <c r="I303" t="str">
        <f t="shared" ca="1" si="9"/>
        <v>(50,'mackerel','piece','fusion','mackerel is a very nice food and beverage category that is categorized under fusion cuisine',8.3,0,'available'),</v>
      </c>
    </row>
    <row r="304" spans="1:9" x14ac:dyDescent="0.25">
      <c r="A304">
        <v>50</v>
      </c>
      <c r="B304" t="s">
        <v>229</v>
      </c>
      <c r="C304" t="s">
        <v>200</v>
      </c>
      <c r="D304" t="s">
        <v>114</v>
      </c>
      <c r="E304" t="s">
        <v>333</v>
      </c>
      <c r="F304">
        <v>3.5</v>
      </c>
      <c r="G304">
        <f t="shared" ca="1" si="10"/>
        <v>4</v>
      </c>
      <c r="H304" t="str">
        <f t="shared" ca="1" si="8"/>
        <v>available</v>
      </c>
      <c r="I304" t="str">
        <f t="shared" ca="1" si="9"/>
        <v>(50,'plantains','can','fusion','plantains is a very nice food and beverage category that is categorized under fusion cuisine',3.5,4,'available'),</v>
      </c>
    </row>
    <row r="305" spans="1:9" x14ac:dyDescent="0.25">
      <c r="A305">
        <v>50</v>
      </c>
      <c r="B305" t="s">
        <v>230</v>
      </c>
      <c r="C305" t="s">
        <v>201</v>
      </c>
      <c r="D305" t="s">
        <v>114</v>
      </c>
      <c r="E305" t="s">
        <v>308</v>
      </c>
      <c r="F305">
        <v>4</v>
      </c>
      <c r="G305">
        <f t="shared" ca="1" si="10"/>
        <v>0</v>
      </c>
      <c r="H305" t="str">
        <f t="shared" ca="1" si="8"/>
        <v>available</v>
      </c>
      <c r="I305" t="str">
        <f t="shared" ca="1" si="9"/>
        <v>(50,'spearmint','package','fusion','spearmint is a very nice food and beverage category that is categorized under fusion cuisine',4,0,'available'),</v>
      </c>
    </row>
    <row r="306" spans="1:9" x14ac:dyDescent="0.25">
      <c r="A306">
        <v>51</v>
      </c>
      <c r="B306" t="s">
        <v>271</v>
      </c>
      <c r="C306" t="s">
        <v>201</v>
      </c>
      <c r="D306" t="s">
        <v>114</v>
      </c>
      <c r="E306" t="s">
        <v>307</v>
      </c>
      <c r="F306">
        <v>2.2000000000000002</v>
      </c>
      <c r="G306">
        <f t="shared" ca="1" si="10"/>
        <v>0</v>
      </c>
      <c r="H306" t="str">
        <f t="shared" ca="1" si="8"/>
        <v>available</v>
      </c>
      <c r="I306" t="str">
        <f t="shared" ca="1" si="9"/>
        <v>(51,'cream cheese','package','fusion','cream cheese is a very nice food and beverage category that is categorized under fusion cuisine',2.2,0,'available'),</v>
      </c>
    </row>
    <row r="307" spans="1:9" x14ac:dyDescent="0.25">
      <c r="A307">
        <v>51</v>
      </c>
      <c r="B307" t="s">
        <v>225</v>
      </c>
      <c r="C307" t="s">
        <v>200</v>
      </c>
      <c r="D307" t="s">
        <v>114</v>
      </c>
      <c r="E307" t="s">
        <v>362</v>
      </c>
      <c r="F307">
        <v>5.8</v>
      </c>
      <c r="G307">
        <f t="shared" ca="1" si="10"/>
        <v>1</v>
      </c>
      <c r="H307" t="str">
        <f t="shared" ca="1" si="8"/>
        <v>available</v>
      </c>
      <c r="I307" t="str">
        <f t="shared" ca="1" si="9"/>
        <v>(51,'eggplants','can','fusion','eggplants is a very nice food and beverage category that is categorized under fusion cuisine',5.8,1,'available'),</v>
      </c>
    </row>
    <row r="308" spans="1:9" x14ac:dyDescent="0.25">
      <c r="A308">
        <v>51</v>
      </c>
      <c r="B308" t="s">
        <v>249</v>
      </c>
      <c r="C308" t="s">
        <v>200</v>
      </c>
      <c r="D308" t="s">
        <v>114</v>
      </c>
      <c r="E308" t="s">
        <v>361</v>
      </c>
      <c r="F308">
        <v>1</v>
      </c>
      <c r="G308">
        <f t="shared" ca="1" si="10"/>
        <v>3</v>
      </c>
      <c r="H308" t="str">
        <f t="shared" ca="1" si="8"/>
        <v>available</v>
      </c>
      <c r="I308" t="str">
        <f t="shared" ca="1" si="9"/>
        <v>(51,'hot sauce','can','fusion','hot sauce is a very nice food and beverage category that is categorized under fusion cuisine',1,3,'available'),</v>
      </c>
    </row>
    <row r="309" spans="1:9" x14ac:dyDescent="0.25">
      <c r="A309">
        <v>51</v>
      </c>
      <c r="B309" t="s">
        <v>247</v>
      </c>
      <c r="C309" t="s">
        <v>200</v>
      </c>
      <c r="D309" t="s">
        <v>114</v>
      </c>
      <c r="E309" t="s">
        <v>332</v>
      </c>
      <c r="F309">
        <v>2.2000000000000002</v>
      </c>
      <c r="G309">
        <f t="shared" ca="1" si="10"/>
        <v>3</v>
      </c>
      <c r="H309" t="str">
        <f t="shared" ca="1" si="8"/>
        <v>available</v>
      </c>
      <c r="I309" t="str">
        <f t="shared" ca="1" si="9"/>
        <v>(51,'peaches','can','fusion','peaches is a very nice food and beverage category that is categorized under fusion cuisine',2.2,3,'available'),</v>
      </c>
    </row>
    <row r="310" spans="1:9" x14ac:dyDescent="0.25">
      <c r="A310">
        <v>51</v>
      </c>
      <c r="B310" t="s">
        <v>254</v>
      </c>
      <c r="C310" t="s">
        <v>201</v>
      </c>
      <c r="D310" t="s">
        <v>114</v>
      </c>
      <c r="E310" t="s">
        <v>316</v>
      </c>
      <c r="F310">
        <v>1.2</v>
      </c>
      <c r="G310">
        <f t="shared" ca="1" si="10"/>
        <v>3</v>
      </c>
      <c r="H310" t="str">
        <f t="shared" ca="1" si="8"/>
        <v>available</v>
      </c>
      <c r="I310" t="str">
        <f t="shared" ca="1" si="9"/>
        <v>(51,'provolone','package','fusion','provolone is a very nice food and beverage category that is categorized under fusion cuisine',1.2,3,'available'),</v>
      </c>
    </row>
    <row r="311" spans="1:9" x14ac:dyDescent="0.25">
      <c r="A311">
        <v>51</v>
      </c>
      <c r="B311" t="s">
        <v>228</v>
      </c>
      <c r="C311" t="s">
        <v>201</v>
      </c>
      <c r="D311" t="s">
        <v>114</v>
      </c>
      <c r="E311" t="s">
        <v>319</v>
      </c>
      <c r="F311">
        <v>2</v>
      </c>
      <c r="G311">
        <f t="shared" ca="1" si="10"/>
        <v>2</v>
      </c>
      <c r="H311" t="str">
        <f t="shared" ca="1" si="8"/>
        <v>available</v>
      </c>
      <c r="I311" t="str">
        <f t="shared" ca="1" si="9"/>
        <v>(51,'red pepper flakes','package','fusion','red pepper flakes is a very nice food and beverage category that is categorized under fusion cuisine',2,2,'available'),</v>
      </c>
    </row>
    <row r="312" spans="1:9" x14ac:dyDescent="0.25">
      <c r="A312">
        <v>52</v>
      </c>
      <c r="B312" t="s">
        <v>223</v>
      </c>
      <c r="C312" t="s">
        <v>202</v>
      </c>
      <c r="D312" t="s">
        <v>114</v>
      </c>
      <c r="E312" t="s">
        <v>375</v>
      </c>
      <c r="F312">
        <v>4.9000000000000004</v>
      </c>
      <c r="G312">
        <f t="shared" ca="1" si="10"/>
        <v>2</v>
      </c>
      <c r="H312" t="str">
        <f t="shared" ca="1" si="8"/>
        <v>available</v>
      </c>
      <c r="I312" t="str">
        <f t="shared" ca="1" si="9"/>
        <v>(52,'cabbage','piece','fusion','cabbage is a very nice food and beverage category that is categorized under fusion cuisine',4.9,2,'available'),</v>
      </c>
    </row>
    <row r="313" spans="1:9" x14ac:dyDescent="0.25">
      <c r="A313">
        <v>52</v>
      </c>
      <c r="B313" t="s">
        <v>258</v>
      </c>
      <c r="C313" t="s">
        <v>201</v>
      </c>
      <c r="D313" t="s">
        <v>114</v>
      </c>
      <c r="E313" t="s">
        <v>298</v>
      </c>
      <c r="F313">
        <v>2.2000000000000002</v>
      </c>
      <c r="G313">
        <f t="shared" ca="1" si="10"/>
        <v>4</v>
      </c>
      <c r="H313" t="str">
        <f t="shared" ca="1" si="8"/>
        <v>available</v>
      </c>
      <c r="I313" t="str">
        <f t="shared" ca="1" si="9"/>
        <v>(52,'colby cheese','package','fusion','colby cheese is a very nice food and beverage category that is categorized under fusion cuisine',2.2,4,'available'),</v>
      </c>
    </row>
    <row r="314" spans="1:9" x14ac:dyDescent="0.25">
      <c r="A314">
        <v>52</v>
      </c>
      <c r="B314" t="s">
        <v>271</v>
      </c>
      <c r="C314" t="s">
        <v>201</v>
      </c>
      <c r="D314" t="s">
        <v>114</v>
      </c>
      <c r="E314" t="s">
        <v>307</v>
      </c>
      <c r="F314">
        <v>2.2000000000000002</v>
      </c>
      <c r="G314">
        <f t="shared" ca="1" si="10"/>
        <v>0</v>
      </c>
      <c r="H314" t="str">
        <f t="shared" ca="1" si="8"/>
        <v>available</v>
      </c>
      <c r="I314" t="str">
        <f t="shared" ca="1" si="9"/>
        <v>(52,'cream cheese','package','fusion','cream cheese is a very nice food and beverage category that is categorized under fusion cuisine',2.2,0,'available'),</v>
      </c>
    </row>
    <row r="315" spans="1:9" x14ac:dyDescent="0.25">
      <c r="A315">
        <v>52</v>
      </c>
      <c r="B315" t="s">
        <v>262</v>
      </c>
      <c r="C315" t="s">
        <v>201</v>
      </c>
      <c r="D315" t="s">
        <v>114</v>
      </c>
      <c r="E315" t="s">
        <v>309</v>
      </c>
      <c r="F315">
        <v>1.7</v>
      </c>
      <c r="G315">
        <f t="shared" ca="1" si="10"/>
        <v>4</v>
      </c>
      <c r="H315" t="str">
        <f t="shared" ca="1" si="8"/>
        <v>available</v>
      </c>
      <c r="I315" t="str">
        <f t="shared" ca="1" si="9"/>
        <v>(52,'feta cheese','package','fusion','feta cheese is a very nice food and beverage category that is categorized under fusion cuisine',1.7,4,'available'),</v>
      </c>
    </row>
    <row r="316" spans="1:9" x14ac:dyDescent="0.25">
      <c r="A316">
        <v>52</v>
      </c>
      <c r="B316" t="s">
        <v>249</v>
      </c>
      <c r="C316" t="s">
        <v>200</v>
      </c>
      <c r="D316" t="s">
        <v>114</v>
      </c>
      <c r="E316" t="s">
        <v>361</v>
      </c>
      <c r="F316">
        <v>1</v>
      </c>
      <c r="G316">
        <f t="shared" ca="1" si="10"/>
        <v>3</v>
      </c>
      <c r="H316" t="str">
        <f t="shared" ca="1" si="8"/>
        <v>available</v>
      </c>
      <c r="I316" t="str">
        <f t="shared" ca="1" si="9"/>
        <v>(52,'hot sauce','can','fusion','hot sauce is a very nice food and beverage category that is categorized under fusion cuisine',1,3,'available'),</v>
      </c>
    </row>
    <row r="317" spans="1:9" x14ac:dyDescent="0.25">
      <c r="A317">
        <v>52</v>
      </c>
      <c r="B317" t="s">
        <v>229</v>
      </c>
      <c r="C317" t="s">
        <v>200</v>
      </c>
      <c r="D317" t="s">
        <v>114</v>
      </c>
      <c r="E317" t="s">
        <v>333</v>
      </c>
      <c r="F317">
        <v>3.5</v>
      </c>
      <c r="G317">
        <f t="shared" ca="1" si="10"/>
        <v>2</v>
      </c>
      <c r="H317" t="str">
        <f t="shared" ca="1" si="8"/>
        <v>available</v>
      </c>
      <c r="I317" t="str">
        <f t="shared" ca="1" si="9"/>
        <v>(52,'plantains','can','fusion','plantains is a very nice food and beverage category that is categorized under fusion cuisine',3.5,2,'available'),</v>
      </c>
    </row>
    <row r="318" spans="1:9" x14ac:dyDescent="0.25">
      <c r="A318">
        <v>52</v>
      </c>
      <c r="B318" t="s">
        <v>250</v>
      </c>
      <c r="C318" t="s">
        <v>201</v>
      </c>
      <c r="D318" t="s">
        <v>114</v>
      </c>
      <c r="E318" t="s">
        <v>354</v>
      </c>
      <c r="F318">
        <v>3.4</v>
      </c>
      <c r="G318">
        <f t="shared" ca="1" si="10"/>
        <v>2</v>
      </c>
      <c r="H318" t="str">
        <f t="shared" ca="1" si="8"/>
        <v>available</v>
      </c>
      <c r="I318" t="str">
        <f t="shared" ca="1" si="9"/>
        <v>(52,'pumpkin seeds','package','fusion','pumpkin seeds is a very nice food and beverage category that is categorized under fusion cuisine',3.4,2,'available'),</v>
      </c>
    </row>
    <row r="319" spans="1:9" x14ac:dyDescent="0.25">
      <c r="A319">
        <v>53</v>
      </c>
      <c r="B319" t="s">
        <v>251</v>
      </c>
      <c r="C319" t="s">
        <v>201</v>
      </c>
      <c r="D319" t="s">
        <v>113</v>
      </c>
      <c r="E319" t="s">
        <v>373</v>
      </c>
      <c r="F319">
        <v>10.8</v>
      </c>
      <c r="G319">
        <f t="shared" ca="1" si="10"/>
        <v>2</v>
      </c>
      <c r="H319" t="str">
        <f t="shared" ca="1" si="8"/>
        <v>available</v>
      </c>
      <c r="I319" t="str">
        <f t="shared" ca="1" si="9"/>
        <v>(53,'blue cheese','package','asian','blue cheese is a very nice food and beverage category that is categorized under asian cuisine',10.8,2,'available'),</v>
      </c>
    </row>
    <row r="320" spans="1:9" x14ac:dyDescent="0.25">
      <c r="A320">
        <v>53</v>
      </c>
      <c r="B320" t="s">
        <v>217</v>
      </c>
      <c r="C320" t="s">
        <v>203</v>
      </c>
      <c r="D320" t="s">
        <v>113</v>
      </c>
      <c r="E320" t="s">
        <v>296</v>
      </c>
      <c r="F320">
        <v>5.4</v>
      </c>
      <c r="G320">
        <f t="shared" ca="1" si="10"/>
        <v>5</v>
      </c>
      <c r="H320" t="str">
        <f t="shared" ca="1" si="8"/>
        <v>available</v>
      </c>
      <c r="I320" t="str">
        <f t="shared" ca="1" si="9"/>
        <v>(53,'borscht','bottle','asian','borscht is a very nice food and beverage category that is categorized under asian cuisine',5.4,5,'available'),</v>
      </c>
    </row>
    <row r="321" spans="1:9" x14ac:dyDescent="0.25">
      <c r="A321">
        <v>53</v>
      </c>
      <c r="B321" t="s">
        <v>213</v>
      </c>
      <c r="C321" t="s">
        <v>202</v>
      </c>
      <c r="D321" t="s">
        <v>113</v>
      </c>
      <c r="E321" t="s">
        <v>303</v>
      </c>
      <c r="F321">
        <v>6.9</v>
      </c>
      <c r="G321">
        <f t="shared" ca="1" si="10"/>
        <v>0</v>
      </c>
      <c r="H321" t="str">
        <f t="shared" ca="1" si="8"/>
        <v>available</v>
      </c>
      <c r="I321" t="str">
        <f t="shared" ca="1" si="9"/>
        <v>(53,'cantaloupes','piece','asian','cantaloupes is a very nice food and beverage category that is categorized under asian cuisine',6.9,0,'available'),</v>
      </c>
    </row>
    <row r="322" spans="1:9" x14ac:dyDescent="0.25">
      <c r="A322">
        <v>53</v>
      </c>
      <c r="B322" t="s">
        <v>216</v>
      </c>
      <c r="C322" t="s">
        <v>200</v>
      </c>
      <c r="D322" t="s">
        <v>113</v>
      </c>
      <c r="E322" t="s">
        <v>343</v>
      </c>
      <c r="F322">
        <v>2</v>
      </c>
      <c r="G322">
        <f t="shared" ca="1" si="10"/>
        <v>1</v>
      </c>
      <c r="H322" t="str">
        <f t="shared" ca="1" si="8"/>
        <v>available</v>
      </c>
      <c r="I322" t="str">
        <f t="shared" ca="1" si="9"/>
        <v>(53,'gelatin','can','asian','gelatin is a very nice food and beverage category that is categorized under asian cuisine',2,1,'available'),</v>
      </c>
    </row>
    <row r="323" spans="1:9" x14ac:dyDescent="0.25">
      <c r="A323">
        <v>53</v>
      </c>
      <c r="B323" t="s">
        <v>278</v>
      </c>
      <c r="C323" t="s">
        <v>202</v>
      </c>
      <c r="D323" t="s">
        <v>113</v>
      </c>
      <c r="E323" t="s">
        <v>306</v>
      </c>
      <c r="F323">
        <v>5.2</v>
      </c>
      <c r="G323">
        <f t="shared" ca="1" si="10"/>
        <v>5</v>
      </c>
      <c r="H323" t="str">
        <f t="shared" ref="H323:H386" ca="1" si="11">IF(RAND()&lt;0.01,"unavailable","available")</f>
        <v>available</v>
      </c>
      <c r="I323" t="str">
        <f t="shared" ref="I323:I386" ca="1" si="12">SqlGenerator(A323:H323)</f>
        <v>(53,'grouper','piece','asian','grouper is a very nice food and beverage category that is categorized under asian cuisine',5.2,5,'available'),</v>
      </c>
    </row>
    <row r="324" spans="1:9" x14ac:dyDescent="0.25">
      <c r="A324">
        <v>53</v>
      </c>
      <c r="B324" t="s">
        <v>211</v>
      </c>
      <c r="C324" t="s">
        <v>201</v>
      </c>
      <c r="D324" t="s">
        <v>113</v>
      </c>
      <c r="E324" t="s">
        <v>358</v>
      </c>
      <c r="F324">
        <v>2.6</v>
      </c>
      <c r="G324">
        <f t="shared" ca="1" si="10"/>
        <v>5</v>
      </c>
      <c r="H324" t="str">
        <f t="shared" ca="1" si="11"/>
        <v>available</v>
      </c>
      <c r="I324" t="str">
        <f t="shared" ca="1" si="12"/>
        <v>(53,'lettuce','package','asian','lettuce is a very nice food and beverage category that is categorized under asian cuisine',2.6,5,'available'),</v>
      </c>
    </row>
    <row r="325" spans="1:9" x14ac:dyDescent="0.25">
      <c r="A325">
        <v>53</v>
      </c>
      <c r="B325" t="s">
        <v>275</v>
      </c>
      <c r="C325" t="s">
        <v>201</v>
      </c>
      <c r="D325" t="s">
        <v>114</v>
      </c>
      <c r="E325" t="s">
        <v>330</v>
      </c>
      <c r="F325">
        <v>1.4</v>
      </c>
      <c r="G325">
        <f t="shared" ca="1" si="10"/>
        <v>0</v>
      </c>
      <c r="H325" t="str">
        <f t="shared" ca="1" si="11"/>
        <v>available</v>
      </c>
      <c r="I325" t="str">
        <f t="shared" ca="1" si="12"/>
        <v>(53,'ricotta cheese','package','fusion','ricotta cheese is a very nice food and beverage category that is categorized under fusion cuisine',1.4,0,'available'),</v>
      </c>
    </row>
    <row r="326" spans="1:9" x14ac:dyDescent="0.25">
      <c r="A326">
        <v>54</v>
      </c>
      <c r="B326" t="s">
        <v>225</v>
      </c>
      <c r="C326" t="s">
        <v>200</v>
      </c>
      <c r="D326" t="s">
        <v>114</v>
      </c>
      <c r="E326" t="s">
        <v>362</v>
      </c>
      <c r="F326">
        <v>5.8</v>
      </c>
      <c r="G326">
        <f t="shared" ca="1" si="10"/>
        <v>3</v>
      </c>
      <c r="H326" t="str">
        <f t="shared" ca="1" si="11"/>
        <v>available</v>
      </c>
      <c r="I326" t="str">
        <f t="shared" ca="1" si="12"/>
        <v>(54,'eggplants','can','fusion','eggplants is a very nice food and beverage category that is categorized under fusion cuisine',5.8,3,'available'),</v>
      </c>
    </row>
    <row r="327" spans="1:9" x14ac:dyDescent="0.25">
      <c r="A327">
        <v>54</v>
      </c>
      <c r="B327" t="s">
        <v>249</v>
      </c>
      <c r="C327" t="s">
        <v>200</v>
      </c>
      <c r="D327" t="s">
        <v>114</v>
      </c>
      <c r="E327" t="s">
        <v>361</v>
      </c>
      <c r="F327">
        <v>1</v>
      </c>
      <c r="G327">
        <f t="shared" ca="1" si="10"/>
        <v>5</v>
      </c>
      <c r="H327" t="str">
        <f t="shared" ca="1" si="11"/>
        <v>available</v>
      </c>
      <c r="I327" t="str">
        <f t="shared" ca="1" si="12"/>
        <v>(54,'hot sauce','can','fusion','hot sauce is a very nice food and beverage category that is categorized under fusion cuisine',1,5,'available'),</v>
      </c>
    </row>
    <row r="328" spans="1:9" x14ac:dyDescent="0.25">
      <c r="A328">
        <v>54</v>
      </c>
      <c r="B328" t="s">
        <v>226</v>
      </c>
      <c r="C328" t="s">
        <v>202</v>
      </c>
      <c r="D328" t="s">
        <v>114</v>
      </c>
      <c r="E328" t="s">
        <v>305</v>
      </c>
      <c r="F328">
        <v>8.3000000000000007</v>
      </c>
      <c r="G328">
        <f t="shared" ca="1" si="10"/>
        <v>3</v>
      </c>
      <c r="H328" t="str">
        <f t="shared" ca="1" si="11"/>
        <v>available</v>
      </c>
      <c r="I328" t="str">
        <f t="shared" ca="1" si="12"/>
        <v>(54,'mackerel','piece','fusion','mackerel is a very nice food and beverage category that is categorized under fusion cuisine',8.3,3,'available'),</v>
      </c>
    </row>
    <row r="329" spans="1:9" x14ac:dyDescent="0.25">
      <c r="A329">
        <v>54</v>
      </c>
      <c r="B329" t="s">
        <v>252</v>
      </c>
      <c r="C329" t="s">
        <v>200</v>
      </c>
      <c r="D329" t="s">
        <v>113</v>
      </c>
      <c r="E329" t="s">
        <v>334</v>
      </c>
      <c r="F329">
        <v>4.4000000000000004</v>
      </c>
      <c r="G329">
        <f t="shared" ca="1" si="10"/>
        <v>4</v>
      </c>
      <c r="H329" t="str">
        <f t="shared" ca="1" si="11"/>
        <v>available</v>
      </c>
      <c r="I329" t="str">
        <f t="shared" ca="1" si="12"/>
        <v>(54,'mushrooms','can','asian','mushrooms is a very nice food and beverage category that is categorized under asian cuisine',4.4,4,'available'),</v>
      </c>
    </row>
    <row r="330" spans="1:9" x14ac:dyDescent="0.25">
      <c r="A330">
        <v>54</v>
      </c>
      <c r="B330" t="s">
        <v>247</v>
      </c>
      <c r="C330" t="s">
        <v>200</v>
      </c>
      <c r="D330" t="s">
        <v>114</v>
      </c>
      <c r="E330" t="s">
        <v>332</v>
      </c>
      <c r="F330">
        <v>2.2000000000000002</v>
      </c>
      <c r="G330">
        <f t="shared" ca="1" si="10"/>
        <v>1</v>
      </c>
      <c r="H330" t="str">
        <f t="shared" ca="1" si="11"/>
        <v>available</v>
      </c>
      <c r="I330" t="str">
        <f t="shared" ca="1" si="12"/>
        <v>(54,'peaches','can','fusion','peaches is a very nice food and beverage category that is categorized under fusion cuisine',2.2,1,'available'),</v>
      </c>
    </row>
    <row r="331" spans="1:9" x14ac:dyDescent="0.25">
      <c r="A331">
        <v>54</v>
      </c>
      <c r="B331" t="s">
        <v>254</v>
      </c>
      <c r="C331" t="s">
        <v>201</v>
      </c>
      <c r="D331" t="s">
        <v>114</v>
      </c>
      <c r="E331" t="s">
        <v>316</v>
      </c>
      <c r="F331">
        <v>1.2</v>
      </c>
      <c r="G331">
        <f t="shared" ca="1" si="10"/>
        <v>5</v>
      </c>
      <c r="H331" t="str">
        <f t="shared" ca="1" si="11"/>
        <v>available</v>
      </c>
      <c r="I331" t="str">
        <f t="shared" ca="1" si="12"/>
        <v>(54,'provolone','package','fusion','provolone is a very nice food and beverage category that is categorized under fusion cuisine',1.2,5,'available'),</v>
      </c>
    </row>
    <row r="332" spans="1:9" x14ac:dyDescent="0.25">
      <c r="A332">
        <v>55</v>
      </c>
      <c r="B332" t="s">
        <v>245</v>
      </c>
      <c r="C332" t="s">
        <v>201</v>
      </c>
      <c r="D332" t="s">
        <v>112</v>
      </c>
      <c r="E332" t="s">
        <v>346</v>
      </c>
      <c r="F332">
        <v>2.2999999999999998</v>
      </c>
      <c r="G332">
        <f t="shared" ca="1" si="10"/>
        <v>1</v>
      </c>
      <c r="H332" t="str">
        <f t="shared" ca="1" si="11"/>
        <v>available</v>
      </c>
      <c r="I332" t="str">
        <f t="shared" ca="1" si="12"/>
        <v>(55,'ale','package','western','ale is a very nice food and beverage category that is categorized under western cuisine',2.3,1,'available'),</v>
      </c>
    </row>
    <row r="333" spans="1:9" x14ac:dyDescent="0.25">
      <c r="A333">
        <v>55</v>
      </c>
      <c r="B333" t="s">
        <v>260</v>
      </c>
      <c r="C333" t="s">
        <v>202</v>
      </c>
      <c r="D333" t="s">
        <v>112</v>
      </c>
      <c r="E333" t="s">
        <v>339</v>
      </c>
      <c r="F333">
        <v>1.5</v>
      </c>
      <c r="G333">
        <f t="shared" ca="1" si="10"/>
        <v>4</v>
      </c>
      <c r="H333" t="str">
        <f t="shared" ca="1" si="11"/>
        <v>available</v>
      </c>
      <c r="I333" t="str">
        <f t="shared" ca="1" si="12"/>
        <v>(55,'Canadian bacon','piece','western','Canadian bacon is a very nice food and beverage category that is categorized under western cuisine',1.5,4,'available'),</v>
      </c>
    </row>
    <row r="334" spans="1:9" x14ac:dyDescent="0.25">
      <c r="A334">
        <v>55</v>
      </c>
      <c r="B334" t="s">
        <v>253</v>
      </c>
      <c r="C334" t="s">
        <v>200</v>
      </c>
      <c r="D334" t="s">
        <v>112</v>
      </c>
      <c r="E334" t="s">
        <v>314</v>
      </c>
      <c r="F334">
        <v>5.0999999999999996</v>
      </c>
      <c r="G334">
        <f t="shared" ca="1" si="10"/>
        <v>3</v>
      </c>
      <c r="H334" t="str">
        <f t="shared" ca="1" si="11"/>
        <v>available</v>
      </c>
      <c r="I334" t="str">
        <f t="shared" ca="1" si="12"/>
        <v>(55,'corned beef','can','western','corned beef is a very nice food and beverage category that is categorized under western cuisine',5.1,3,'available'),</v>
      </c>
    </row>
    <row r="335" spans="1:9" x14ac:dyDescent="0.25">
      <c r="A335">
        <v>55</v>
      </c>
      <c r="B335" t="s">
        <v>243</v>
      </c>
      <c r="C335" t="s">
        <v>201</v>
      </c>
      <c r="D335" t="s">
        <v>112</v>
      </c>
      <c r="E335" t="s">
        <v>323</v>
      </c>
      <c r="F335">
        <v>2.2000000000000002</v>
      </c>
      <c r="G335">
        <f t="shared" ca="1" si="10"/>
        <v>4</v>
      </c>
      <c r="H335" t="str">
        <f t="shared" ca="1" si="11"/>
        <v>available</v>
      </c>
      <c r="I335" t="str">
        <f t="shared" ca="1" si="12"/>
        <v>(55,'french fries','package','western','french fries is a very nice food and beverage category that is categorized under western cuisine',2.2,4,'available'),</v>
      </c>
    </row>
    <row r="336" spans="1:9" x14ac:dyDescent="0.25">
      <c r="A336">
        <v>55</v>
      </c>
      <c r="B336" t="s">
        <v>234</v>
      </c>
      <c r="C336" t="s">
        <v>202</v>
      </c>
      <c r="D336" t="s">
        <v>112</v>
      </c>
      <c r="E336" t="s">
        <v>320</v>
      </c>
      <c r="F336">
        <v>1.1000000000000001</v>
      </c>
      <c r="G336">
        <f t="shared" ca="1" si="10"/>
        <v>0</v>
      </c>
      <c r="H336" t="str">
        <f t="shared" ca="1" si="11"/>
        <v>available</v>
      </c>
      <c r="I336" t="str">
        <f t="shared" ca="1" si="12"/>
        <v>(55,'hamburger','piece','western','hamburger is a very nice food and beverage category that is categorized under western cuisine',1.1,0,'available'),</v>
      </c>
    </row>
    <row r="337" spans="1:9" x14ac:dyDescent="0.25">
      <c r="A337">
        <v>55</v>
      </c>
      <c r="B337" t="s">
        <v>244</v>
      </c>
      <c r="C337" t="s">
        <v>202</v>
      </c>
      <c r="D337" t="s">
        <v>112</v>
      </c>
      <c r="E337" t="s">
        <v>353</v>
      </c>
      <c r="F337">
        <v>5</v>
      </c>
      <c r="G337">
        <f t="shared" ca="1" si="10"/>
        <v>3</v>
      </c>
      <c r="H337" t="str">
        <f t="shared" ca="1" si="11"/>
        <v>available</v>
      </c>
      <c r="I337" t="str">
        <f t="shared" ca="1" si="12"/>
        <v>(55,'lobsters','piece','western','lobsters is a very nice food and beverage category that is categorized under western cuisine',5,3,'available'),</v>
      </c>
    </row>
    <row r="338" spans="1:9" x14ac:dyDescent="0.25">
      <c r="A338">
        <v>55</v>
      </c>
      <c r="B338" t="s">
        <v>239</v>
      </c>
      <c r="C338" t="s">
        <v>200</v>
      </c>
      <c r="D338" t="s">
        <v>112</v>
      </c>
      <c r="E338" t="s">
        <v>352</v>
      </c>
      <c r="F338">
        <v>3</v>
      </c>
      <c r="G338">
        <f t="shared" ca="1" si="10"/>
        <v>0</v>
      </c>
      <c r="H338" t="str">
        <f t="shared" ca="1" si="11"/>
        <v>available</v>
      </c>
      <c r="I338" t="str">
        <f t="shared" ca="1" si="12"/>
        <v>(55,'pasta','can','western','pasta is a very nice food and beverage category that is categorized under western cuisine',3,0,'available'),</v>
      </c>
    </row>
    <row r="339" spans="1:9" x14ac:dyDescent="0.25">
      <c r="A339">
        <v>55</v>
      </c>
      <c r="B339" t="s">
        <v>228</v>
      </c>
      <c r="C339" t="s">
        <v>201</v>
      </c>
      <c r="D339" t="s">
        <v>114</v>
      </c>
      <c r="E339" t="s">
        <v>319</v>
      </c>
      <c r="F339">
        <v>2</v>
      </c>
      <c r="G339">
        <f t="shared" ca="1" si="10"/>
        <v>1</v>
      </c>
      <c r="H339" t="str">
        <f t="shared" ca="1" si="11"/>
        <v>available</v>
      </c>
      <c r="I339" t="str">
        <f t="shared" ca="1" si="12"/>
        <v>(55,'red pepper flakes','package','fusion','red pepper flakes is a very nice food and beverage category that is categorized under fusion cuisine',2,1,'available'),</v>
      </c>
    </row>
    <row r="340" spans="1:9" x14ac:dyDescent="0.25">
      <c r="A340">
        <v>56</v>
      </c>
      <c r="B340" t="s">
        <v>245</v>
      </c>
      <c r="C340" t="s">
        <v>201</v>
      </c>
      <c r="D340" t="s">
        <v>112</v>
      </c>
      <c r="E340" t="s">
        <v>346</v>
      </c>
      <c r="F340">
        <v>2.2999999999999998</v>
      </c>
      <c r="G340">
        <f t="shared" ca="1" si="10"/>
        <v>2</v>
      </c>
      <c r="H340" t="str">
        <f t="shared" ca="1" si="11"/>
        <v>available</v>
      </c>
      <c r="I340" t="str">
        <f t="shared" ca="1" si="12"/>
        <v>(56,'ale','package','western','ale is a very nice food and beverage category that is categorized under western cuisine',2.3,2,'available'),</v>
      </c>
    </row>
    <row r="341" spans="1:9" x14ac:dyDescent="0.25">
      <c r="A341">
        <v>56</v>
      </c>
      <c r="B341" t="s">
        <v>219</v>
      </c>
      <c r="C341" t="s">
        <v>200</v>
      </c>
      <c r="D341" t="s">
        <v>112</v>
      </c>
      <c r="E341" t="s">
        <v>328</v>
      </c>
      <c r="F341">
        <v>5.3</v>
      </c>
      <c r="G341">
        <f t="shared" ca="1" si="10"/>
        <v>2</v>
      </c>
      <c r="H341" t="str">
        <f t="shared" ca="1" si="11"/>
        <v>available</v>
      </c>
      <c r="I341" t="str">
        <f t="shared" ca="1" si="12"/>
        <v>(56,'canola oil','can','western','canola oil is a very nice food and beverage category that is categorized under western cuisine',5.3,2,'available'),</v>
      </c>
    </row>
    <row r="342" spans="1:9" x14ac:dyDescent="0.25">
      <c r="A342">
        <v>56</v>
      </c>
      <c r="B342" t="s">
        <v>235</v>
      </c>
      <c r="C342" t="s">
        <v>202</v>
      </c>
      <c r="D342" t="s">
        <v>112</v>
      </c>
      <c r="E342" t="s">
        <v>336</v>
      </c>
      <c r="F342">
        <v>3.1</v>
      </c>
      <c r="G342">
        <f t="shared" ca="1" si="10"/>
        <v>4</v>
      </c>
      <c r="H342" t="str">
        <f t="shared" ca="1" si="11"/>
        <v>available</v>
      </c>
      <c r="I342" t="str">
        <f t="shared" ca="1" si="12"/>
        <v>(56,'garlic','piece','western','garlic is a very nice food and beverage category that is categorized under western cuisine',3.1,4,'available'),</v>
      </c>
    </row>
    <row r="343" spans="1:9" x14ac:dyDescent="0.25">
      <c r="A343">
        <v>56</v>
      </c>
      <c r="B343" t="s">
        <v>239</v>
      </c>
      <c r="C343" t="s">
        <v>200</v>
      </c>
      <c r="D343" t="s">
        <v>112</v>
      </c>
      <c r="E343" t="s">
        <v>352</v>
      </c>
      <c r="F343">
        <v>3</v>
      </c>
      <c r="G343">
        <f t="shared" ca="1" si="10"/>
        <v>1</v>
      </c>
      <c r="H343" t="str">
        <f t="shared" ca="1" si="11"/>
        <v>available</v>
      </c>
      <c r="I343" t="str">
        <f t="shared" ca="1" si="12"/>
        <v>(56,'pasta','can','western','pasta is a very nice food and beverage category that is categorized under western cuisine',3,1,'available'),</v>
      </c>
    </row>
    <row r="344" spans="1:9" x14ac:dyDescent="0.25">
      <c r="A344">
        <v>56</v>
      </c>
      <c r="B344" t="s">
        <v>221</v>
      </c>
      <c r="C344" t="s">
        <v>200</v>
      </c>
      <c r="D344" t="s">
        <v>112</v>
      </c>
      <c r="E344" t="s">
        <v>335</v>
      </c>
      <c r="F344">
        <v>4</v>
      </c>
      <c r="G344">
        <f t="shared" ca="1" si="10"/>
        <v>2</v>
      </c>
      <c r="H344" t="str">
        <f t="shared" ca="1" si="11"/>
        <v>available</v>
      </c>
      <c r="I344" t="str">
        <f t="shared" ca="1" si="12"/>
        <v>(56,'sauerkraut','can','western','sauerkraut is a very nice food and beverage category that is categorized under western cuisine',4,2,'available'),</v>
      </c>
    </row>
    <row r="345" spans="1:9" x14ac:dyDescent="0.25">
      <c r="A345">
        <v>56</v>
      </c>
      <c r="B345" t="s">
        <v>265</v>
      </c>
      <c r="C345" t="s">
        <v>202</v>
      </c>
      <c r="D345" t="s">
        <v>112</v>
      </c>
      <c r="E345" t="s">
        <v>315</v>
      </c>
      <c r="F345">
        <v>4.5</v>
      </c>
      <c r="G345">
        <f t="shared" ca="1" si="10"/>
        <v>5</v>
      </c>
      <c r="H345" t="str">
        <f t="shared" ca="1" si="11"/>
        <v>available</v>
      </c>
      <c r="I345" t="str">
        <f t="shared" ca="1" si="12"/>
        <v>(56,'steak','piece','western','steak is a very nice food and beverage category that is categorized under western cuisine',4.5,5,'available'),</v>
      </c>
    </row>
    <row r="346" spans="1:9" x14ac:dyDescent="0.25">
      <c r="A346">
        <v>57</v>
      </c>
      <c r="B346" t="s">
        <v>282</v>
      </c>
      <c r="C346" t="s">
        <v>201</v>
      </c>
      <c r="D346" t="s">
        <v>116</v>
      </c>
      <c r="E346" t="s">
        <v>337</v>
      </c>
      <c r="F346">
        <v>1.1000000000000001</v>
      </c>
      <c r="G346">
        <f t="shared" ca="1" si="10"/>
        <v>2</v>
      </c>
      <c r="H346" t="str">
        <f t="shared" ca="1" si="11"/>
        <v>available</v>
      </c>
      <c r="I346" t="str">
        <f t="shared" ca="1" si="12"/>
        <v>(57,'amaretto','package','beverage','amaretto is a very nice food and beverage category that is categorized under beverage cuisine',1.1,2,'available'),</v>
      </c>
    </row>
    <row r="347" spans="1:9" x14ac:dyDescent="0.25">
      <c r="A347">
        <v>57</v>
      </c>
      <c r="B347" t="s">
        <v>283</v>
      </c>
      <c r="C347" t="s">
        <v>200</v>
      </c>
      <c r="D347" t="s">
        <v>116</v>
      </c>
      <c r="E347" t="s">
        <v>340</v>
      </c>
      <c r="F347">
        <v>3.9</v>
      </c>
      <c r="G347">
        <f t="shared" ca="1" si="10"/>
        <v>0</v>
      </c>
      <c r="H347" t="str">
        <f t="shared" ca="1" si="11"/>
        <v>available</v>
      </c>
      <c r="I347" t="str">
        <f t="shared" ca="1" si="12"/>
        <v>(57,'baking soda','can','beverage','baking soda is a very nice food and beverage category that is categorized under beverage cuisine',3.9,0,'available'),</v>
      </c>
    </row>
    <row r="348" spans="1:9" x14ac:dyDescent="0.25">
      <c r="A348">
        <v>57</v>
      </c>
      <c r="B348" t="s">
        <v>242</v>
      </c>
      <c r="C348" t="s">
        <v>200</v>
      </c>
      <c r="D348" t="s">
        <v>116</v>
      </c>
      <c r="E348" t="s">
        <v>345</v>
      </c>
      <c r="F348">
        <v>2.5</v>
      </c>
      <c r="G348">
        <f t="shared" ca="1" si="10"/>
        <v>0</v>
      </c>
      <c r="H348" t="str">
        <f t="shared" ca="1" si="11"/>
        <v>available</v>
      </c>
      <c r="I348" t="str">
        <f t="shared" ca="1" si="12"/>
        <v>(57,'black-eyed peas','can','beverage','black-eyed peas is a very nice food and beverage category that is categorized under beverage cuisine',2.5,0,'available'),</v>
      </c>
    </row>
    <row r="349" spans="1:9" x14ac:dyDescent="0.25">
      <c r="A349">
        <v>57</v>
      </c>
      <c r="B349" t="s">
        <v>286</v>
      </c>
      <c r="C349" t="s">
        <v>200</v>
      </c>
      <c r="D349" t="s">
        <v>116</v>
      </c>
      <c r="E349" t="s">
        <v>318</v>
      </c>
      <c r="F349">
        <v>2.9</v>
      </c>
      <c r="G349">
        <f t="shared" ca="1" si="10"/>
        <v>0</v>
      </c>
      <c r="H349" t="str">
        <f t="shared" ca="1" si="11"/>
        <v>available</v>
      </c>
      <c r="I349" t="str">
        <f t="shared" ca="1" si="12"/>
        <v>(57,'chestnuts','can','beverage','chestnuts is a very nice food and beverage category that is categorized under beverage cuisine',2.9,0,'available'),</v>
      </c>
    </row>
    <row r="350" spans="1:9" x14ac:dyDescent="0.25">
      <c r="A350">
        <v>57</v>
      </c>
      <c r="B350" t="s">
        <v>237</v>
      </c>
      <c r="C350" t="s">
        <v>200</v>
      </c>
      <c r="D350" t="s">
        <v>116</v>
      </c>
      <c r="E350" t="s">
        <v>357</v>
      </c>
      <c r="F350">
        <v>2.4</v>
      </c>
      <c r="G350">
        <f t="shared" ca="1" si="10"/>
        <v>5</v>
      </c>
      <c r="H350" t="str">
        <f t="shared" ca="1" si="11"/>
        <v>available</v>
      </c>
      <c r="I350" t="str">
        <f t="shared" ca="1" si="12"/>
        <v>(57,'cooking wine','can','beverage','cooking wine is a very nice food and beverage category that is categorized under beverage cuisine',2.4,5,'available'),</v>
      </c>
    </row>
    <row r="351" spans="1:9" x14ac:dyDescent="0.25">
      <c r="A351">
        <v>57</v>
      </c>
      <c r="B351" t="s">
        <v>265</v>
      </c>
      <c r="C351" t="s">
        <v>202</v>
      </c>
      <c r="D351" t="s">
        <v>112</v>
      </c>
      <c r="E351" t="s">
        <v>315</v>
      </c>
      <c r="F351">
        <v>4.5</v>
      </c>
      <c r="G351">
        <f t="shared" ca="1" si="10"/>
        <v>1</v>
      </c>
      <c r="H351" t="str">
        <f t="shared" ca="1" si="11"/>
        <v>available</v>
      </c>
      <c r="I351" t="str">
        <f t="shared" ca="1" si="12"/>
        <v>(57,'steak','piece','western','steak is a very nice food and beverage category that is categorized under western cuisine',4.5,1,'available'),</v>
      </c>
    </row>
    <row r="352" spans="1:9" x14ac:dyDescent="0.25">
      <c r="A352">
        <v>58</v>
      </c>
      <c r="B352" t="s">
        <v>233</v>
      </c>
      <c r="C352" t="s">
        <v>201</v>
      </c>
      <c r="D352" t="s">
        <v>112</v>
      </c>
      <c r="E352" t="s">
        <v>321</v>
      </c>
      <c r="F352">
        <v>2.9</v>
      </c>
      <c r="G352">
        <f t="shared" ca="1" si="10"/>
        <v>5</v>
      </c>
      <c r="H352" t="str">
        <f t="shared" ca="1" si="11"/>
        <v>available</v>
      </c>
      <c r="I352" t="str">
        <f t="shared" ca="1" si="12"/>
        <v>(58,'acorn squash','package','western','acorn squash is a very nice food and beverage category that is categorized under western cuisine',2.9,5,'available'),</v>
      </c>
    </row>
    <row r="353" spans="1:9" x14ac:dyDescent="0.25">
      <c r="A353">
        <v>58</v>
      </c>
      <c r="B353" t="s">
        <v>245</v>
      </c>
      <c r="C353" t="s">
        <v>201</v>
      </c>
      <c r="D353" t="s">
        <v>112</v>
      </c>
      <c r="E353" t="s">
        <v>346</v>
      </c>
      <c r="F353">
        <v>2.2999999999999998</v>
      </c>
      <c r="G353">
        <f t="shared" ca="1" si="10"/>
        <v>1</v>
      </c>
      <c r="H353" t="str">
        <f t="shared" ca="1" si="11"/>
        <v>available</v>
      </c>
      <c r="I353" t="str">
        <f t="shared" ca="1" si="12"/>
        <v>(58,'ale','package','western','ale is a very nice food and beverage category that is categorized under western cuisine',2.3,1,'available'),</v>
      </c>
    </row>
    <row r="354" spans="1:9" x14ac:dyDescent="0.25">
      <c r="A354">
        <v>58</v>
      </c>
      <c r="B354" t="s">
        <v>219</v>
      </c>
      <c r="C354" t="s">
        <v>200</v>
      </c>
      <c r="D354" t="s">
        <v>112</v>
      </c>
      <c r="E354" t="s">
        <v>328</v>
      </c>
      <c r="F354">
        <v>5.3</v>
      </c>
      <c r="G354">
        <f t="shared" ca="1" si="10"/>
        <v>1</v>
      </c>
      <c r="H354" t="str">
        <f t="shared" ca="1" si="11"/>
        <v>available</v>
      </c>
      <c r="I354" t="str">
        <f t="shared" ca="1" si="12"/>
        <v>(58,'canola oil','can','western','canola oil is a very nice food and beverage category that is categorized under western cuisine',5.3,1,'available'),</v>
      </c>
    </row>
    <row r="355" spans="1:9" x14ac:dyDescent="0.25">
      <c r="A355">
        <v>58</v>
      </c>
      <c r="B355" t="s">
        <v>253</v>
      </c>
      <c r="C355" t="s">
        <v>200</v>
      </c>
      <c r="D355" t="s">
        <v>112</v>
      </c>
      <c r="E355" t="s">
        <v>314</v>
      </c>
      <c r="F355">
        <v>5.0999999999999996</v>
      </c>
      <c r="G355">
        <f t="shared" ca="1" si="10"/>
        <v>3</v>
      </c>
      <c r="H355" t="str">
        <f t="shared" ca="1" si="11"/>
        <v>available</v>
      </c>
      <c r="I355" t="str">
        <f t="shared" ca="1" si="12"/>
        <v>(58,'corned beef','can','western','corned beef is a very nice food and beverage category that is categorized under western cuisine',5.1,3,'available'),</v>
      </c>
    </row>
    <row r="356" spans="1:9" x14ac:dyDescent="0.25">
      <c r="A356">
        <v>58</v>
      </c>
      <c r="B356" t="s">
        <v>244</v>
      </c>
      <c r="C356" t="s">
        <v>202</v>
      </c>
      <c r="D356" t="s">
        <v>112</v>
      </c>
      <c r="E356" t="s">
        <v>353</v>
      </c>
      <c r="F356">
        <v>5</v>
      </c>
      <c r="G356">
        <f t="shared" ca="1" si="10"/>
        <v>3</v>
      </c>
      <c r="H356" t="str">
        <f t="shared" ca="1" si="11"/>
        <v>available</v>
      </c>
      <c r="I356" t="str">
        <f t="shared" ca="1" si="12"/>
        <v>(58,'lobsters','piece','western','lobsters is a very nice food and beverage category that is categorized under western cuisine',5,3,'available'),</v>
      </c>
    </row>
    <row r="357" spans="1:9" x14ac:dyDescent="0.25">
      <c r="A357">
        <v>58</v>
      </c>
      <c r="B357" t="s">
        <v>259</v>
      </c>
      <c r="C357" t="s">
        <v>200</v>
      </c>
      <c r="D357" t="s">
        <v>116</v>
      </c>
      <c r="E357" t="s">
        <v>302</v>
      </c>
      <c r="F357">
        <v>5.0999999999999996</v>
      </c>
      <c r="G357">
        <f t="shared" ref="G357:G406" ca="1" si="13">RANDBETWEEN(0,5)</f>
        <v>5</v>
      </c>
      <c r="H357" t="str">
        <f t="shared" ca="1" si="11"/>
        <v>available</v>
      </c>
      <c r="I357" t="str">
        <f t="shared" ca="1" si="12"/>
        <v>(58,'Marsala','can','beverage','Marsala is a very nice food and beverage category that is categorized under beverage cuisine',5.1,5,'available'),</v>
      </c>
    </row>
    <row r="358" spans="1:9" x14ac:dyDescent="0.25">
      <c r="A358">
        <v>58</v>
      </c>
      <c r="B358" t="s">
        <v>220</v>
      </c>
      <c r="C358" t="s">
        <v>200</v>
      </c>
      <c r="D358" t="s">
        <v>112</v>
      </c>
      <c r="E358" t="s">
        <v>350</v>
      </c>
      <c r="F358">
        <v>3.7</v>
      </c>
      <c r="G358">
        <f t="shared" ca="1" si="13"/>
        <v>3</v>
      </c>
      <c r="H358" t="str">
        <f t="shared" ca="1" si="11"/>
        <v>available</v>
      </c>
      <c r="I358" t="str">
        <f t="shared" ca="1" si="12"/>
        <v>(58,'poppy seeds','can','western','poppy seeds is a very nice food and beverage category that is categorized under western cuisine',3.7,3,'available'),</v>
      </c>
    </row>
    <row r="359" spans="1:9" x14ac:dyDescent="0.25">
      <c r="A359">
        <v>59</v>
      </c>
      <c r="B359" t="s">
        <v>233</v>
      </c>
      <c r="C359" t="s">
        <v>201</v>
      </c>
      <c r="D359" t="s">
        <v>112</v>
      </c>
      <c r="E359" t="s">
        <v>321</v>
      </c>
      <c r="F359">
        <v>2.9</v>
      </c>
      <c r="G359">
        <f t="shared" ca="1" si="13"/>
        <v>0</v>
      </c>
      <c r="H359" t="str">
        <f t="shared" ca="1" si="11"/>
        <v>available</v>
      </c>
      <c r="I359" t="str">
        <f t="shared" ca="1" si="12"/>
        <v>(59,'acorn squash','package','western','acorn squash is a very nice food and beverage category that is categorized under western cuisine',2.9,0,'available'),</v>
      </c>
    </row>
    <row r="360" spans="1:9" x14ac:dyDescent="0.25">
      <c r="A360">
        <v>59</v>
      </c>
      <c r="B360" t="s">
        <v>235</v>
      </c>
      <c r="C360" t="s">
        <v>202</v>
      </c>
      <c r="D360" t="s">
        <v>112</v>
      </c>
      <c r="E360" t="s">
        <v>336</v>
      </c>
      <c r="F360">
        <v>3.1</v>
      </c>
      <c r="G360">
        <f t="shared" ca="1" si="13"/>
        <v>2</v>
      </c>
      <c r="H360" t="str">
        <f t="shared" ca="1" si="11"/>
        <v>available</v>
      </c>
      <c r="I360" t="str">
        <f t="shared" ca="1" si="12"/>
        <v>(59,'garlic','piece','western','garlic is a very nice food and beverage category that is categorized under western cuisine',3.1,2,'available'),</v>
      </c>
    </row>
    <row r="361" spans="1:9" x14ac:dyDescent="0.25">
      <c r="A361">
        <v>59</v>
      </c>
      <c r="B361" t="s">
        <v>234</v>
      </c>
      <c r="C361" t="s">
        <v>202</v>
      </c>
      <c r="D361" t="s">
        <v>112</v>
      </c>
      <c r="E361" t="s">
        <v>320</v>
      </c>
      <c r="F361">
        <v>1.1000000000000001</v>
      </c>
      <c r="G361">
        <f t="shared" ca="1" si="13"/>
        <v>0</v>
      </c>
      <c r="H361" t="str">
        <f t="shared" ca="1" si="11"/>
        <v>available</v>
      </c>
      <c r="I361" t="str">
        <f t="shared" ca="1" si="12"/>
        <v>(59,'hamburger','piece','western','hamburger is a very nice food and beverage category that is categorized under western cuisine',1.1,0,'available'),</v>
      </c>
    </row>
    <row r="362" spans="1:9" x14ac:dyDescent="0.25">
      <c r="A362">
        <v>59</v>
      </c>
      <c r="B362" t="s">
        <v>220</v>
      </c>
      <c r="C362" t="s">
        <v>200</v>
      </c>
      <c r="D362" t="s">
        <v>112</v>
      </c>
      <c r="E362" t="s">
        <v>350</v>
      </c>
      <c r="F362">
        <v>3.7</v>
      </c>
      <c r="G362">
        <f t="shared" ca="1" si="13"/>
        <v>2</v>
      </c>
      <c r="H362" t="str">
        <f t="shared" ca="1" si="11"/>
        <v>available</v>
      </c>
      <c r="I362" t="str">
        <f t="shared" ca="1" si="12"/>
        <v>(59,'poppy seeds','can','western','poppy seeds is a very nice food and beverage category that is categorized under western cuisine',3.7,2,'available'),</v>
      </c>
    </row>
    <row r="363" spans="1:9" x14ac:dyDescent="0.25">
      <c r="A363">
        <v>59</v>
      </c>
      <c r="B363" t="s">
        <v>221</v>
      </c>
      <c r="C363" t="s">
        <v>200</v>
      </c>
      <c r="D363" t="s">
        <v>112</v>
      </c>
      <c r="E363" t="s">
        <v>335</v>
      </c>
      <c r="F363">
        <v>4</v>
      </c>
      <c r="G363">
        <f t="shared" ca="1" si="13"/>
        <v>4</v>
      </c>
      <c r="H363" t="str">
        <f t="shared" ca="1" si="11"/>
        <v>available</v>
      </c>
      <c r="I363" t="str">
        <f t="shared" ca="1" si="12"/>
        <v>(59,'sauerkraut','can','western','sauerkraut is a very nice food and beverage category that is categorized under western cuisine',4,4,'available'),</v>
      </c>
    </row>
    <row r="364" spans="1:9" x14ac:dyDescent="0.25">
      <c r="A364">
        <v>59</v>
      </c>
      <c r="B364" t="s">
        <v>222</v>
      </c>
      <c r="C364" t="s">
        <v>201</v>
      </c>
      <c r="D364" t="s">
        <v>112</v>
      </c>
      <c r="E364" t="s">
        <v>338</v>
      </c>
      <c r="F364">
        <v>5</v>
      </c>
      <c r="G364">
        <f t="shared" ca="1" si="13"/>
        <v>2</v>
      </c>
      <c r="H364" t="str">
        <f t="shared" ca="1" si="11"/>
        <v>available</v>
      </c>
      <c r="I364" t="str">
        <f t="shared" ca="1" si="12"/>
        <v>(59,'spaghetti squash','package','western','spaghetti squash is a very nice food and beverage category that is categorized under western cuisine',5,2,'available'),</v>
      </c>
    </row>
    <row r="365" spans="1:9" x14ac:dyDescent="0.25">
      <c r="A365">
        <v>60</v>
      </c>
      <c r="B365" t="s">
        <v>251</v>
      </c>
      <c r="C365" t="s">
        <v>201</v>
      </c>
      <c r="D365" t="s">
        <v>113</v>
      </c>
      <c r="E365" t="s">
        <v>373</v>
      </c>
      <c r="F365">
        <v>10.8</v>
      </c>
      <c r="G365">
        <f t="shared" ca="1" si="13"/>
        <v>4</v>
      </c>
      <c r="H365" t="str">
        <f t="shared" ca="1" si="11"/>
        <v>available</v>
      </c>
      <c r="I365" t="str">
        <f t="shared" ca="1" si="12"/>
        <v>(60,'blue cheese','package','asian','blue cheese is a very nice food and beverage category that is categorized under asian cuisine',10.8,4,'available'),</v>
      </c>
    </row>
    <row r="366" spans="1:9" x14ac:dyDescent="0.25">
      <c r="A366">
        <v>60</v>
      </c>
      <c r="B366" t="s">
        <v>213</v>
      </c>
      <c r="C366" t="s">
        <v>202</v>
      </c>
      <c r="D366" t="s">
        <v>113</v>
      </c>
      <c r="E366" t="s">
        <v>303</v>
      </c>
      <c r="F366">
        <v>6.9</v>
      </c>
      <c r="G366">
        <f t="shared" ca="1" si="13"/>
        <v>3</v>
      </c>
      <c r="H366" t="str">
        <f t="shared" ca="1" si="11"/>
        <v>unavailable</v>
      </c>
      <c r="I366" t="str">
        <f t="shared" ca="1" si="12"/>
        <v>(60,'cantaloupes','piece','asian','cantaloupes is a very nice food and beverage category that is categorized under asian cuisine',6.9,3,'unavailable'),</v>
      </c>
    </row>
    <row r="367" spans="1:9" x14ac:dyDescent="0.25">
      <c r="A367">
        <v>60</v>
      </c>
      <c r="B367" t="s">
        <v>266</v>
      </c>
      <c r="C367" t="s">
        <v>200</v>
      </c>
      <c r="D367" t="s">
        <v>113</v>
      </c>
      <c r="E367" t="s">
        <v>310</v>
      </c>
      <c r="F367">
        <v>2.1</v>
      </c>
      <c r="G367">
        <f t="shared" ca="1" si="13"/>
        <v>4</v>
      </c>
      <c r="H367" t="str">
        <f t="shared" ca="1" si="11"/>
        <v>available</v>
      </c>
      <c r="I367" t="str">
        <f t="shared" ca="1" si="12"/>
        <v>(60,'cornmeal','can','asian','cornmeal is a very nice food and beverage category that is categorized under asian cuisine',2.1,4,'available'),</v>
      </c>
    </row>
    <row r="368" spans="1:9" x14ac:dyDescent="0.25">
      <c r="A368">
        <v>60</v>
      </c>
      <c r="B368" t="s">
        <v>274</v>
      </c>
      <c r="C368" t="s">
        <v>200</v>
      </c>
      <c r="D368" t="s">
        <v>113</v>
      </c>
      <c r="E368" t="s">
        <v>322</v>
      </c>
      <c r="F368">
        <v>2.4</v>
      </c>
      <c r="G368">
        <f t="shared" ca="1" si="13"/>
        <v>5</v>
      </c>
      <c r="H368" t="str">
        <f t="shared" ca="1" si="11"/>
        <v>available</v>
      </c>
      <c r="I368" t="str">
        <f t="shared" ca="1" si="12"/>
        <v>(60,'cremini mushrooms','can','asian','cremini mushrooms is a very nice food and beverage category that is categorized under asian cuisine',2.4,5,'available'),</v>
      </c>
    </row>
    <row r="369" spans="1:9" x14ac:dyDescent="0.25">
      <c r="A369">
        <v>60</v>
      </c>
      <c r="B369" t="s">
        <v>278</v>
      </c>
      <c r="C369" t="s">
        <v>202</v>
      </c>
      <c r="D369" t="s">
        <v>113</v>
      </c>
      <c r="E369" t="s">
        <v>306</v>
      </c>
      <c r="F369">
        <v>5.2</v>
      </c>
      <c r="G369">
        <f t="shared" ca="1" si="13"/>
        <v>1</v>
      </c>
      <c r="H369" t="str">
        <f t="shared" ca="1" si="11"/>
        <v>available</v>
      </c>
      <c r="I369" t="str">
        <f t="shared" ca="1" si="12"/>
        <v>(60,'grouper','piece','asian','grouper is a very nice food and beverage category that is categorized under asian cuisine',5.2,1,'available'),</v>
      </c>
    </row>
    <row r="370" spans="1:9" x14ac:dyDescent="0.25">
      <c r="A370">
        <v>60</v>
      </c>
      <c r="B370" t="s">
        <v>265</v>
      </c>
      <c r="C370" t="s">
        <v>202</v>
      </c>
      <c r="D370" t="s">
        <v>112</v>
      </c>
      <c r="E370" t="s">
        <v>315</v>
      </c>
      <c r="F370">
        <v>4.5</v>
      </c>
      <c r="G370">
        <f t="shared" ca="1" si="13"/>
        <v>5</v>
      </c>
      <c r="H370" t="str">
        <f t="shared" ca="1" si="11"/>
        <v>available</v>
      </c>
      <c r="I370" t="str">
        <f t="shared" ca="1" si="12"/>
        <v>(60,'steak','piece','western','steak is a very nice food and beverage category that is categorized under western cuisine',4.5,5,'available'),</v>
      </c>
    </row>
    <row r="371" spans="1:9" x14ac:dyDescent="0.25">
      <c r="A371">
        <v>61</v>
      </c>
      <c r="B371" t="s">
        <v>217</v>
      </c>
      <c r="C371" t="s">
        <v>203</v>
      </c>
      <c r="D371" t="s">
        <v>113</v>
      </c>
      <c r="E371" t="s">
        <v>296</v>
      </c>
      <c r="F371">
        <v>5.4</v>
      </c>
      <c r="G371">
        <f t="shared" ca="1" si="13"/>
        <v>1</v>
      </c>
      <c r="H371" t="str">
        <f t="shared" ca="1" si="11"/>
        <v>available</v>
      </c>
      <c r="I371" t="str">
        <f t="shared" ca="1" si="12"/>
        <v>(61,'borscht','bottle','asian','borscht is a very nice food and beverage category that is categorized under asian cuisine',5.4,1,'available'),</v>
      </c>
    </row>
    <row r="372" spans="1:9" x14ac:dyDescent="0.25">
      <c r="A372">
        <v>61</v>
      </c>
      <c r="B372" t="s">
        <v>218</v>
      </c>
      <c r="C372" t="s">
        <v>200</v>
      </c>
      <c r="D372" t="s">
        <v>113</v>
      </c>
      <c r="E372" t="s">
        <v>344</v>
      </c>
      <c r="F372">
        <v>5.0999999999999996</v>
      </c>
      <c r="G372">
        <f t="shared" ca="1" si="13"/>
        <v>3</v>
      </c>
      <c r="H372" t="str">
        <f t="shared" ca="1" si="11"/>
        <v>available</v>
      </c>
      <c r="I372" t="str">
        <f t="shared" ca="1" si="12"/>
        <v>(61,'corn','can','asian','corn is a very nice food and beverage category that is categorized under asian cuisine',5.1,3,'available'),</v>
      </c>
    </row>
    <row r="373" spans="1:9" x14ac:dyDescent="0.25">
      <c r="A373">
        <v>61</v>
      </c>
      <c r="B373" t="s">
        <v>274</v>
      </c>
      <c r="C373" t="s">
        <v>200</v>
      </c>
      <c r="D373" t="s">
        <v>113</v>
      </c>
      <c r="E373" t="s">
        <v>322</v>
      </c>
      <c r="F373">
        <v>2.4</v>
      </c>
      <c r="G373">
        <f t="shared" ca="1" si="13"/>
        <v>5</v>
      </c>
      <c r="H373" t="str">
        <f t="shared" ca="1" si="11"/>
        <v>available</v>
      </c>
      <c r="I373" t="str">
        <f t="shared" ca="1" si="12"/>
        <v>(61,'cremini mushrooms','can','asian','cremini mushrooms is a very nice food and beverage category that is categorized under asian cuisine',2.4,5,'available'),</v>
      </c>
    </row>
    <row r="374" spans="1:9" x14ac:dyDescent="0.25">
      <c r="A374">
        <v>61</v>
      </c>
      <c r="B374" t="s">
        <v>278</v>
      </c>
      <c r="C374" t="s">
        <v>202</v>
      </c>
      <c r="D374" t="s">
        <v>113</v>
      </c>
      <c r="E374" t="s">
        <v>306</v>
      </c>
      <c r="F374">
        <v>5.2</v>
      </c>
      <c r="G374">
        <f t="shared" ca="1" si="13"/>
        <v>5</v>
      </c>
      <c r="H374" t="str">
        <f t="shared" ca="1" si="11"/>
        <v>available</v>
      </c>
      <c r="I374" t="str">
        <f t="shared" ca="1" si="12"/>
        <v>(61,'grouper','piece','asian','grouper is a very nice food and beverage category that is categorized under asian cuisine',5.2,5,'available'),</v>
      </c>
    </row>
    <row r="375" spans="1:9" x14ac:dyDescent="0.25">
      <c r="A375">
        <v>61</v>
      </c>
      <c r="B375" t="s">
        <v>211</v>
      </c>
      <c r="C375" t="s">
        <v>201</v>
      </c>
      <c r="D375" t="s">
        <v>113</v>
      </c>
      <c r="E375" t="s">
        <v>358</v>
      </c>
      <c r="F375">
        <v>2.6</v>
      </c>
      <c r="G375">
        <f t="shared" ca="1" si="13"/>
        <v>4</v>
      </c>
      <c r="H375" t="str">
        <f t="shared" ca="1" si="11"/>
        <v>available</v>
      </c>
      <c r="I375" t="str">
        <f t="shared" ca="1" si="12"/>
        <v>(61,'lettuce','package','asian','lettuce is a very nice food and beverage category that is categorized under asian cuisine',2.6,4,'available'),</v>
      </c>
    </row>
    <row r="376" spans="1:9" x14ac:dyDescent="0.25">
      <c r="A376">
        <v>61</v>
      </c>
      <c r="B376" t="s">
        <v>252</v>
      </c>
      <c r="C376" t="s">
        <v>200</v>
      </c>
      <c r="D376" t="s">
        <v>113</v>
      </c>
      <c r="E376" t="s">
        <v>334</v>
      </c>
      <c r="F376">
        <v>4.4000000000000004</v>
      </c>
      <c r="G376">
        <f t="shared" ca="1" si="13"/>
        <v>1</v>
      </c>
      <c r="H376" t="str">
        <f t="shared" ca="1" si="11"/>
        <v>available</v>
      </c>
      <c r="I376" t="str">
        <f t="shared" ca="1" si="12"/>
        <v>(61,'mushrooms','can','asian','mushrooms is a very nice food and beverage category that is categorized under asian cuisine',4.4,1,'available'),</v>
      </c>
    </row>
    <row r="377" spans="1:9" x14ac:dyDescent="0.25">
      <c r="A377">
        <v>61</v>
      </c>
      <c r="B377" t="s">
        <v>214</v>
      </c>
      <c r="C377" t="s">
        <v>201</v>
      </c>
      <c r="D377" t="s">
        <v>113</v>
      </c>
      <c r="E377" t="s">
        <v>342</v>
      </c>
      <c r="F377">
        <v>3.2</v>
      </c>
      <c r="G377">
        <f t="shared" ca="1" si="13"/>
        <v>0</v>
      </c>
      <c r="H377" t="str">
        <f t="shared" ca="1" si="11"/>
        <v>available</v>
      </c>
      <c r="I377" t="str">
        <f t="shared" ca="1" si="12"/>
        <v>(61,'tea','package','asian','tea is a very nice food and beverage category that is categorized under asian cuisine',3.2,0,'available'),</v>
      </c>
    </row>
    <row r="378" spans="1:9" x14ac:dyDescent="0.25">
      <c r="A378">
        <v>62</v>
      </c>
      <c r="B378" t="s">
        <v>233</v>
      </c>
      <c r="C378" t="s">
        <v>201</v>
      </c>
      <c r="D378" t="s">
        <v>112</v>
      </c>
      <c r="E378" t="s">
        <v>321</v>
      </c>
      <c r="F378">
        <v>2.9</v>
      </c>
      <c r="G378">
        <f t="shared" ca="1" si="13"/>
        <v>0</v>
      </c>
      <c r="H378" t="str">
        <f t="shared" ca="1" si="11"/>
        <v>available</v>
      </c>
      <c r="I378" t="str">
        <f t="shared" ca="1" si="12"/>
        <v>(62,'acorn squash','package','western','acorn squash is a very nice food and beverage category that is categorized under western cuisine',2.9,0,'available'),</v>
      </c>
    </row>
    <row r="379" spans="1:9" x14ac:dyDescent="0.25">
      <c r="A379">
        <v>62</v>
      </c>
      <c r="B379" t="s">
        <v>260</v>
      </c>
      <c r="C379" t="s">
        <v>202</v>
      </c>
      <c r="D379" t="s">
        <v>112</v>
      </c>
      <c r="E379" t="s">
        <v>339</v>
      </c>
      <c r="F379">
        <v>1.5</v>
      </c>
      <c r="G379">
        <f t="shared" ca="1" si="13"/>
        <v>4</v>
      </c>
      <c r="H379" t="str">
        <f t="shared" ca="1" si="11"/>
        <v>available</v>
      </c>
      <c r="I379" t="str">
        <f t="shared" ca="1" si="12"/>
        <v>(62,'Canadian bacon','piece','western','Canadian bacon is a very nice food and beverage category that is categorized under western cuisine',1.5,4,'available'),</v>
      </c>
    </row>
    <row r="380" spans="1:9" x14ac:dyDescent="0.25">
      <c r="A380">
        <v>62</v>
      </c>
      <c r="B380" t="s">
        <v>219</v>
      </c>
      <c r="C380" t="s">
        <v>200</v>
      </c>
      <c r="D380" t="s">
        <v>112</v>
      </c>
      <c r="E380" t="s">
        <v>328</v>
      </c>
      <c r="F380">
        <v>5.3</v>
      </c>
      <c r="G380">
        <f t="shared" ca="1" si="13"/>
        <v>3</v>
      </c>
      <c r="H380" t="str">
        <f t="shared" ca="1" si="11"/>
        <v>available</v>
      </c>
      <c r="I380" t="str">
        <f t="shared" ca="1" si="12"/>
        <v>(62,'canola oil','can','western','canola oil is a very nice food and beverage category that is categorized under western cuisine',5.3,3,'available'),</v>
      </c>
    </row>
    <row r="381" spans="1:9" x14ac:dyDescent="0.25">
      <c r="A381">
        <v>62</v>
      </c>
      <c r="B381" t="s">
        <v>257</v>
      </c>
      <c r="C381" t="s">
        <v>200</v>
      </c>
      <c r="D381" t="s">
        <v>112</v>
      </c>
      <c r="E381" t="s">
        <v>295</v>
      </c>
      <c r="F381">
        <v>2.2000000000000002</v>
      </c>
      <c r="G381">
        <f t="shared" ca="1" si="13"/>
        <v>0</v>
      </c>
      <c r="H381" t="str">
        <f t="shared" ca="1" si="11"/>
        <v>available</v>
      </c>
      <c r="I381" t="str">
        <f t="shared" ca="1" si="12"/>
        <v>(62,'cream of tartar','can','western','cream of tartar is a very nice food and beverage category that is categorized under western cuisine',2.2,0,'available'),</v>
      </c>
    </row>
    <row r="382" spans="1:9" x14ac:dyDescent="0.25">
      <c r="A382">
        <v>62</v>
      </c>
      <c r="B382" t="s">
        <v>235</v>
      </c>
      <c r="C382" t="s">
        <v>202</v>
      </c>
      <c r="D382" t="s">
        <v>112</v>
      </c>
      <c r="E382" t="s">
        <v>336</v>
      </c>
      <c r="F382">
        <v>3.1</v>
      </c>
      <c r="G382">
        <f t="shared" ca="1" si="13"/>
        <v>5</v>
      </c>
      <c r="H382" t="str">
        <f t="shared" ca="1" si="11"/>
        <v>available</v>
      </c>
      <c r="I382" t="str">
        <f t="shared" ca="1" si="12"/>
        <v>(62,'garlic','piece','western','garlic is a very nice food and beverage category that is categorized under western cuisine',3.1,5,'available'),</v>
      </c>
    </row>
    <row r="383" spans="1:9" x14ac:dyDescent="0.25">
      <c r="A383">
        <v>62</v>
      </c>
      <c r="B383" t="s">
        <v>234</v>
      </c>
      <c r="C383" t="s">
        <v>202</v>
      </c>
      <c r="D383" t="s">
        <v>112</v>
      </c>
      <c r="E383" t="s">
        <v>320</v>
      </c>
      <c r="F383">
        <v>1.1000000000000001</v>
      </c>
      <c r="G383">
        <f t="shared" ca="1" si="13"/>
        <v>5</v>
      </c>
      <c r="H383" t="str">
        <f t="shared" ca="1" si="11"/>
        <v>available</v>
      </c>
      <c r="I383" t="str">
        <f t="shared" ca="1" si="12"/>
        <v>(62,'hamburger','piece','western','hamburger is a very nice food and beverage category that is categorized under western cuisine',1.1,5,'available'),</v>
      </c>
    </row>
    <row r="384" spans="1:9" x14ac:dyDescent="0.25">
      <c r="A384">
        <v>62</v>
      </c>
      <c r="B384" t="s">
        <v>240</v>
      </c>
      <c r="C384" t="s">
        <v>202</v>
      </c>
      <c r="D384" t="s">
        <v>113</v>
      </c>
      <c r="E384" t="s">
        <v>371</v>
      </c>
      <c r="F384">
        <v>10</v>
      </c>
      <c r="G384">
        <f t="shared" ca="1" si="13"/>
        <v>4</v>
      </c>
      <c r="H384" t="str">
        <f t="shared" ca="1" si="11"/>
        <v>available</v>
      </c>
      <c r="I384" t="str">
        <f t="shared" ca="1" si="12"/>
        <v>(62,'red snapper','piece','asian','red snapper is a very nice food and beverage category that is categorized under asian cuisine',10,4,'available'),</v>
      </c>
    </row>
    <row r="385" spans="1:9" x14ac:dyDescent="0.25">
      <c r="A385">
        <v>63</v>
      </c>
      <c r="B385" t="s">
        <v>277</v>
      </c>
      <c r="C385" t="s">
        <v>201</v>
      </c>
      <c r="D385" t="s">
        <v>116</v>
      </c>
      <c r="E385" t="s">
        <v>376</v>
      </c>
      <c r="F385">
        <v>2.8</v>
      </c>
      <c r="G385">
        <f t="shared" ca="1" si="13"/>
        <v>3</v>
      </c>
      <c r="H385" t="str">
        <f t="shared" ca="1" si="11"/>
        <v>available</v>
      </c>
      <c r="I385" t="str">
        <f t="shared" ca="1" si="12"/>
        <v>(63,'arugula','package','beverage','arugula is a very nice food and beverage category that is categorized under beverage cuisine',2.8,3,'available'),</v>
      </c>
    </row>
    <row r="386" spans="1:9" x14ac:dyDescent="0.25">
      <c r="A386">
        <v>63</v>
      </c>
      <c r="B386" t="s">
        <v>283</v>
      </c>
      <c r="C386" t="s">
        <v>200</v>
      </c>
      <c r="D386" t="s">
        <v>116</v>
      </c>
      <c r="E386" t="s">
        <v>340</v>
      </c>
      <c r="F386">
        <v>3.9</v>
      </c>
      <c r="G386">
        <f t="shared" ca="1" si="13"/>
        <v>5</v>
      </c>
      <c r="H386" t="str">
        <f t="shared" ca="1" si="11"/>
        <v>available</v>
      </c>
      <c r="I386" t="str">
        <f t="shared" ca="1" si="12"/>
        <v>(63,'baking soda','can','beverage','baking soda is a very nice food and beverage category that is categorized under beverage cuisine',3.9,5,'available'),</v>
      </c>
    </row>
    <row r="387" spans="1:9" x14ac:dyDescent="0.25">
      <c r="A387">
        <v>63</v>
      </c>
      <c r="B387" t="s">
        <v>292</v>
      </c>
      <c r="C387" t="s">
        <v>200</v>
      </c>
      <c r="D387" t="s">
        <v>116</v>
      </c>
      <c r="E387" t="s">
        <v>304</v>
      </c>
      <c r="F387">
        <v>2</v>
      </c>
      <c r="G387">
        <f t="shared" ca="1" si="13"/>
        <v>5</v>
      </c>
      <c r="H387" t="str">
        <f t="shared" ref="H387:H406" ca="1" si="14">IF(RAND()&lt;0.01,"unavailable","available")</f>
        <v>available</v>
      </c>
      <c r="I387" t="str">
        <f t="shared" ref="I387:I406" ca="1" si="15">SqlGenerator(A387:H387)</f>
        <v>(63,'bay leaves','can','beverage','bay leaves is a very nice food and beverage category that is categorized under beverage cuisine',2,5,'available'),</v>
      </c>
    </row>
    <row r="388" spans="1:9" x14ac:dyDescent="0.25">
      <c r="A388">
        <v>63</v>
      </c>
      <c r="B388" t="s">
        <v>256</v>
      </c>
      <c r="C388" t="s">
        <v>203</v>
      </c>
      <c r="D388" t="s">
        <v>116</v>
      </c>
      <c r="E388" t="s">
        <v>301</v>
      </c>
      <c r="F388">
        <v>10.7</v>
      </c>
      <c r="G388">
        <f t="shared" ca="1" si="13"/>
        <v>2</v>
      </c>
      <c r="H388" t="str">
        <f t="shared" ca="1" si="14"/>
        <v>available</v>
      </c>
      <c r="I388" t="str">
        <f t="shared" ca="1" si="15"/>
        <v>(63,'brandy','bottle','beverage','brandy is a very nice food and beverage category that is categorized under beverage cuisine',10.7,2,'available'),</v>
      </c>
    </row>
    <row r="389" spans="1:9" x14ac:dyDescent="0.25">
      <c r="A389">
        <v>63</v>
      </c>
      <c r="B389" t="s">
        <v>290</v>
      </c>
      <c r="C389" t="s">
        <v>201</v>
      </c>
      <c r="D389" t="s">
        <v>116</v>
      </c>
      <c r="E389" t="s">
        <v>341</v>
      </c>
      <c r="F389">
        <v>1.5</v>
      </c>
      <c r="G389">
        <f t="shared" ca="1" si="13"/>
        <v>5</v>
      </c>
      <c r="H389" t="str">
        <f t="shared" ca="1" si="14"/>
        <v>available</v>
      </c>
      <c r="I389" t="str">
        <f t="shared" ca="1" si="15"/>
        <v>(63,'broccoli','package','beverage','broccoli is a very nice food and beverage category that is categorized under beverage cuisine',1.5,5,'available'),</v>
      </c>
    </row>
    <row r="390" spans="1:9" x14ac:dyDescent="0.25">
      <c r="A390">
        <v>63</v>
      </c>
      <c r="B390" t="s">
        <v>273</v>
      </c>
      <c r="C390" t="s">
        <v>201</v>
      </c>
      <c r="D390" t="s">
        <v>116</v>
      </c>
      <c r="E390" t="s">
        <v>311</v>
      </c>
      <c r="F390">
        <v>5.6</v>
      </c>
      <c r="G390">
        <f t="shared" ca="1" si="13"/>
        <v>3</v>
      </c>
      <c r="H390" t="str">
        <f t="shared" ca="1" si="14"/>
        <v>available</v>
      </c>
      <c r="I390" t="str">
        <f t="shared" ca="1" si="15"/>
        <v>(63,'buckwheat','package','beverage','buckwheat is a very nice food and beverage category that is categorized under beverage cuisine',5.6,3,'available'),</v>
      </c>
    </row>
    <row r="391" spans="1:9" x14ac:dyDescent="0.25">
      <c r="A391">
        <v>63</v>
      </c>
      <c r="B391" t="s">
        <v>286</v>
      </c>
      <c r="C391" t="s">
        <v>200</v>
      </c>
      <c r="D391" t="s">
        <v>116</v>
      </c>
      <c r="E391" t="s">
        <v>318</v>
      </c>
      <c r="F391">
        <v>2.9</v>
      </c>
      <c r="G391">
        <f t="shared" ca="1" si="13"/>
        <v>0</v>
      </c>
      <c r="H391" t="str">
        <f t="shared" ca="1" si="14"/>
        <v>available</v>
      </c>
      <c r="I391" t="str">
        <f t="shared" ca="1" si="15"/>
        <v>(63,'chestnuts','can','beverage','chestnuts is a very nice food and beverage category that is categorized under beverage cuisine',2.9,0,'available'),</v>
      </c>
    </row>
    <row r="392" spans="1:9" x14ac:dyDescent="0.25">
      <c r="A392">
        <v>63</v>
      </c>
      <c r="B392" t="s">
        <v>241</v>
      </c>
      <c r="C392" t="s">
        <v>201</v>
      </c>
      <c r="D392" t="s">
        <v>112</v>
      </c>
      <c r="E392" t="s">
        <v>349</v>
      </c>
      <c r="F392">
        <v>4.5999999999999996</v>
      </c>
      <c r="G392">
        <f t="shared" ca="1" si="13"/>
        <v>5</v>
      </c>
      <c r="H392" t="str">
        <f t="shared" ca="1" si="14"/>
        <v>available</v>
      </c>
      <c r="I392" t="str">
        <f t="shared" ca="1" si="15"/>
        <v>(63,'hash browns','package','western','hash browns is a very nice food and beverage category that is categorized under western cuisine',4.6,5,'available'),</v>
      </c>
    </row>
    <row r="393" spans="1:9" x14ac:dyDescent="0.25">
      <c r="A393">
        <v>64</v>
      </c>
      <c r="B393" t="s">
        <v>245</v>
      </c>
      <c r="C393" t="s">
        <v>201</v>
      </c>
      <c r="D393" t="s">
        <v>112</v>
      </c>
      <c r="E393" t="s">
        <v>346</v>
      </c>
      <c r="F393">
        <v>2.2999999999999998</v>
      </c>
      <c r="G393">
        <f t="shared" ca="1" si="13"/>
        <v>0</v>
      </c>
      <c r="H393" t="str">
        <f t="shared" ca="1" si="14"/>
        <v>available</v>
      </c>
      <c r="I393" t="str">
        <f t="shared" ca="1" si="15"/>
        <v>(64,'ale','package','western','ale is a very nice food and beverage category that is categorized under western cuisine',2.3,0,'available'),</v>
      </c>
    </row>
    <row r="394" spans="1:9" x14ac:dyDescent="0.25">
      <c r="A394">
        <v>64</v>
      </c>
      <c r="B394" t="s">
        <v>286</v>
      </c>
      <c r="C394" t="s">
        <v>200</v>
      </c>
      <c r="D394" t="s">
        <v>116</v>
      </c>
      <c r="E394" t="s">
        <v>318</v>
      </c>
      <c r="F394">
        <v>2.9</v>
      </c>
      <c r="G394">
        <f t="shared" ca="1" si="13"/>
        <v>3</v>
      </c>
      <c r="H394" t="str">
        <f t="shared" ca="1" si="14"/>
        <v>available</v>
      </c>
      <c r="I394" t="str">
        <f t="shared" ca="1" si="15"/>
        <v>(64,'chestnuts','can','beverage','chestnuts is a very nice food and beverage category that is categorized under beverage cuisine',2.9,3,'available'),</v>
      </c>
    </row>
    <row r="395" spans="1:9" x14ac:dyDescent="0.25">
      <c r="A395">
        <v>64</v>
      </c>
      <c r="B395" t="s">
        <v>235</v>
      </c>
      <c r="C395" t="s">
        <v>202</v>
      </c>
      <c r="D395" t="s">
        <v>112</v>
      </c>
      <c r="E395" t="s">
        <v>336</v>
      </c>
      <c r="F395">
        <v>3.1</v>
      </c>
      <c r="G395">
        <f t="shared" ca="1" si="13"/>
        <v>5</v>
      </c>
      <c r="H395" t="str">
        <f t="shared" ca="1" si="14"/>
        <v>available</v>
      </c>
      <c r="I395" t="str">
        <f t="shared" ca="1" si="15"/>
        <v>(64,'garlic','piece','western','garlic is a very nice food and beverage category that is categorized under western cuisine',3.1,5,'available'),</v>
      </c>
    </row>
    <row r="396" spans="1:9" x14ac:dyDescent="0.25">
      <c r="A396">
        <v>64</v>
      </c>
      <c r="B396" t="s">
        <v>234</v>
      </c>
      <c r="C396" t="s">
        <v>202</v>
      </c>
      <c r="D396" t="s">
        <v>112</v>
      </c>
      <c r="E396" t="s">
        <v>320</v>
      </c>
      <c r="F396">
        <v>1.1000000000000001</v>
      </c>
      <c r="G396">
        <f t="shared" ca="1" si="13"/>
        <v>2</v>
      </c>
      <c r="H396" t="str">
        <f t="shared" ca="1" si="14"/>
        <v>available</v>
      </c>
      <c r="I396" t="str">
        <f t="shared" ca="1" si="15"/>
        <v>(64,'hamburger','piece','western','hamburger is a very nice food and beverage category that is categorized under western cuisine',1.1,2,'available'),</v>
      </c>
    </row>
    <row r="397" spans="1:9" x14ac:dyDescent="0.25">
      <c r="A397">
        <v>64</v>
      </c>
      <c r="B397" t="s">
        <v>239</v>
      </c>
      <c r="C397" t="s">
        <v>200</v>
      </c>
      <c r="D397" t="s">
        <v>112</v>
      </c>
      <c r="E397" t="s">
        <v>352</v>
      </c>
      <c r="F397">
        <v>3</v>
      </c>
      <c r="G397">
        <f t="shared" ca="1" si="13"/>
        <v>3</v>
      </c>
      <c r="H397" t="str">
        <f t="shared" ca="1" si="14"/>
        <v>available</v>
      </c>
      <c r="I397" t="str">
        <f t="shared" ca="1" si="15"/>
        <v>(64,'pasta','can','western','pasta is a very nice food and beverage category that is categorized under western cuisine',3,3,'available'),</v>
      </c>
    </row>
    <row r="398" spans="1:9" x14ac:dyDescent="0.25">
      <c r="A398">
        <v>64</v>
      </c>
      <c r="B398" t="s">
        <v>220</v>
      </c>
      <c r="C398" t="s">
        <v>200</v>
      </c>
      <c r="D398" t="s">
        <v>112</v>
      </c>
      <c r="E398" t="s">
        <v>350</v>
      </c>
      <c r="F398">
        <v>3.7</v>
      </c>
      <c r="G398">
        <f t="shared" ca="1" si="13"/>
        <v>4</v>
      </c>
      <c r="H398" t="str">
        <f t="shared" ca="1" si="14"/>
        <v>available</v>
      </c>
      <c r="I398" t="str">
        <f t="shared" ca="1" si="15"/>
        <v>(64,'poppy seeds','can','western','poppy seeds is a very nice food and beverage category that is categorized under western cuisine',3.7,4,'available'),</v>
      </c>
    </row>
    <row r="399" spans="1:9" x14ac:dyDescent="0.25">
      <c r="A399">
        <v>64</v>
      </c>
      <c r="B399" t="s">
        <v>265</v>
      </c>
      <c r="C399" t="s">
        <v>202</v>
      </c>
      <c r="D399" t="s">
        <v>112</v>
      </c>
      <c r="E399" t="s">
        <v>315</v>
      </c>
      <c r="F399">
        <v>4.5</v>
      </c>
      <c r="G399">
        <f t="shared" ca="1" si="13"/>
        <v>3</v>
      </c>
      <c r="H399" t="str">
        <f t="shared" ca="1" si="14"/>
        <v>available</v>
      </c>
      <c r="I399" t="str">
        <f t="shared" ca="1" si="15"/>
        <v>(64,'steak','piece','western','steak is a very nice food and beverage category that is categorized under western cuisine',4.5,3,'available'),</v>
      </c>
    </row>
    <row r="400" spans="1:9" x14ac:dyDescent="0.25">
      <c r="A400">
        <v>65</v>
      </c>
      <c r="B400" t="s">
        <v>260</v>
      </c>
      <c r="C400" t="s">
        <v>202</v>
      </c>
      <c r="D400" t="s">
        <v>112</v>
      </c>
      <c r="E400" t="s">
        <v>339</v>
      </c>
      <c r="F400">
        <v>1.5</v>
      </c>
      <c r="G400">
        <f t="shared" ca="1" si="13"/>
        <v>3</v>
      </c>
      <c r="H400" t="str">
        <f t="shared" ca="1" si="14"/>
        <v>available</v>
      </c>
      <c r="I400" t="str">
        <f t="shared" ca="1" si="15"/>
        <v>(65,'Canadian bacon','piece','western','Canadian bacon is a very nice food and beverage category that is categorized under western cuisine',1.5,3,'available'),</v>
      </c>
    </row>
    <row r="401" spans="1:9" x14ac:dyDescent="0.25">
      <c r="A401">
        <v>65</v>
      </c>
      <c r="B401" t="s">
        <v>253</v>
      </c>
      <c r="C401" t="s">
        <v>200</v>
      </c>
      <c r="D401" t="s">
        <v>112</v>
      </c>
      <c r="E401" t="s">
        <v>314</v>
      </c>
      <c r="F401">
        <v>5.0999999999999996</v>
      </c>
      <c r="G401">
        <f t="shared" ca="1" si="13"/>
        <v>0</v>
      </c>
      <c r="H401" t="str">
        <f t="shared" ca="1" si="14"/>
        <v>available</v>
      </c>
      <c r="I401" t="str">
        <f t="shared" ca="1" si="15"/>
        <v>(65,'corned beef','can','western','corned beef is a very nice food and beverage category that is categorized under western cuisine',5.1,0,'available'),</v>
      </c>
    </row>
    <row r="402" spans="1:9" x14ac:dyDescent="0.25">
      <c r="A402">
        <v>65</v>
      </c>
      <c r="B402" t="s">
        <v>235</v>
      </c>
      <c r="C402" t="s">
        <v>202</v>
      </c>
      <c r="D402" t="s">
        <v>112</v>
      </c>
      <c r="E402" t="s">
        <v>336</v>
      </c>
      <c r="F402">
        <v>3.1</v>
      </c>
      <c r="G402">
        <f t="shared" ca="1" si="13"/>
        <v>1</v>
      </c>
      <c r="H402" t="str">
        <f t="shared" ca="1" si="14"/>
        <v>available</v>
      </c>
      <c r="I402" t="str">
        <f t="shared" ca="1" si="15"/>
        <v>(65,'garlic','piece','western','garlic is a very nice food and beverage category that is categorized under western cuisine',3.1,1,'available'),</v>
      </c>
    </row>
    <row r="403" spans="1:9" x14ac:dyDescent="0.25">
      <c r="A403">
        <v>65</v>
      </c>
      <c r="B403" t="s">
        <v>244</v>
      </c>
      <c r="C403" t="s">
        <v>202</v>
      </c>
      <c r="D403" t="s">
        <v>112</v>
      </c>
      <c r="E403" t="s">
        <v>353</v>
      </c>
      <c r="F403">
        <v>5</v>
      </c>
      <c r="G403">
        <f t="shared" ca="1" si="13"/>
        <v>0</v>
      </c>
      <c r="H403" t="str">
        <f t="shared" ca="1" si="14"/>
        <v>available</v>
      </c>
      <c r="I403" t="str">
        <f t="shared" ca="1" si="15"/>
        <v>(65,'lobsters','piece','western','lobsters is a very nice food and beverage category that is categorized under western cuisine',5,0,'available'),</v>
      </c>
    </row>
    <row r="404" spans="1:9" x14ac:dyDescent="0.25">
      <c r="A404">
        <v>65</v>
      </c>
      <c r="B404" t="s">
        <v>221</v>
      </c>
      <c r="C404" t="s">
        <v>200</v>
      </c>
      <c r="D404" t="s">
        <v>112</v>
      </c>
      <c r="E404" t="s">
        <v>335</v>
      </c>
      <c r="F404">
        <v>4</v>
      </c>
      <c r="G404">
        <f t="shared" ca="1" si="13"/>
        <v>0</v>
      </c>
      <c r="H404" t="str">
        <f t="shared" ca="1" si="14"/>
        <v>available</v>
      </c>
      <c r="I404" t="str">
        <f t="shared" ca="1" si="15"/>
        <v>(65,'sauerkraut','can','western','sauerkraut is a very nice food and beverage category that is categorized under western cuisine',4,0,'available'),</v>
      </c>
    </row>
    <row r="405" spans="1:9" x14ac:dyDescent="0.25">
      <c r="A405">
        <v>65</v>
      </c>
      <c r="B405" t="s">
        <v>222</v>
      </c>
      <c r="C405" t="s">
        <v>201</v>
      </c>
      <c r="D405" t="s">
        <v>112</v>
      </c>
      <c r="E405" t="s">
        <v>338</v>
      </c>
      <c r="F405">
        <v>5</v>
      </c>
      <c r="G405">
        <f t="shared" ca="1" si="13"/>
        <v>1</v>
      </c>
      <c r="H405" t="str">
        <f t="shared" ca="1" si="14"/>
        <v>available</v>
      </c>
      <c r="I405" t="str">
        <f t="shared" ca="1" si="15"/>
        <v>(65,'spaghetti squash','package','western','spaghetti squash is a very nice food and beverage category that is categorized under western cuisine',5,1,'available'),</v>
      </c>
    </row>
    <row r="406" spans="1:9" x14ac:dyDescent="0.25">
      <c r="A406">
        <v>65</v>
      </c>
      <c r="B406" t="s">
        <v>265</v>
      </c>
      <c r="C406" t="s">
        <v>202</v>
      </c>
      <c r="D406" t="s">
        <v>112</v>
      </c>
      <c r="E406" t="s">
        <v>315</v>
      </c>
      <c r="F406">
        <v>4.5</v>
      </c>
      <c r="G406">
        <f t="shared" ca="1" si="13"/>
        <v>3</v>
      </c>
      <c r="H406" t="str">
        <f t="shared" ca="1" si="14"/>
        <v>available</v>
      </c>
      <c r="I406" t="str">
        <f t="shared" ca="1" si="15"/>
        <v>(65,'steak','piece','western','steak is a very nice food and beverage category that is categorized under western cuisine',4.5,3,'available'),</v>
      </c>
    </row>
  </sheetData>
  <autoFilter ref="A1:F40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91"/>
  <sheetViews>
    <sheetView workbookViewId="0">
      <selection activeCell="B19" sqref="B19"/>
    </sheetView>
  </sheetViews>
  <sheetFormatPr defaultRowHeight="15" x14ac:dyDescent="0.25"/>
  <cols>
    <col min="1" max="1" width="15.85546875" style="6" customWidth="1"/>
    <col min="2" max="2" width="44.5703125" style="6" customWidth="1"/>
    <col min="3" max="3" width="44.5703125" customWidth="1"/>
    <col min="4" max="4" width="35.85546875" customWidth="1"/>
  </cols>
  <sheetData>
    <row r="1" spans="1:5" x14ac:dyDescent="0.25">
      <c r="A1" s="6" t="s">
        <v>427</v>
      </c>
      <c r="B1" s="6" t="s">
        <v>428</v>
      </c>
      <c r="C1" t="s">
        <v>182</v>
      </c>
      <c r="D1" t="s">
        <v>429</v>
      </c>
    </row>
    <row r="2" spans="1:5" ht="15.75" x14ac:dyDescent="0.3">
      <c r="A2" s="7">
        <v>7</v>
      </c>
      <c r="B2" s="7" t="s">
        <v>377</v>
      </c>
      <c r="C2">
        <v>15</v>
      </c>
      <c r="D2" t="s">
        <v>549</v>
      </c>
      <c r="E2" t="str">
        <f>SqlGenerator(A2:D2)</f>
        <v>(7,'Breaded Ginger Pigeon',15,'western dish made out of Pigeon'),</v>
      </c>
    </row>
    <row r="3" spans="1:5" ht="15.75" x14ac:dyDescent="0.3">
      <c r="A3" s="7">
        <v>8</v>
      </c>
      <c r="B3" s="7" t="s">
        <v>378</v>
      </c>
      <c r="C3">
        <v>5</v>
      </c>
      <c r="D3" t="s">
        <v>493</v>
      </c>
      <c r="E3" t="str">
        <f t="shared" ref="E3:E66" si="0">SqlGenerator(A3:D3)</f>
        <v>(8,'Oven-Grilled Apricot &amp; Basil Mutton',5,'asian dish made out of Mutton'),</v>
      </c>
    </row>
    <row r="4" spans="1:5" ht="15.75" x14ac:dyDescent="0.3">
      <c r="A4" s="7">
        <v>9</v>
      </c>
      <c r="B4" s="7" t="s">
        <v>379</v>
      </c>
      <c r="C4">
        <v>7</v>
      </c>
      <c r="D4" t="s">
        <v>502</v>
      </c>
      <c r="E4" t="str">
        <f t="shared" si="0"/>
        <v>(9,'Engine-Cooked Mango &amp; Pine Crab',7,'western dish made out of Crab'),</v>
      </c>
    </row>
    <row r="5" spans="1:5" ht="15.75" x14ac:dyDescent="0.3">
      <c r="A5" s="7">
        <v>10</v>
      </c>
      <c r="B5" s="7" t="s">
        <v>380</v>
      </c>
      <c r="C5">
        <v>8</v>
      </c>
      <c r="D5" t="s">
        <v>508</v>
      </c>
      <c r="E5" t="str">
        <f t="shared" si="0"/>
        <v>(10,'Slow-Cooked Honey Herring',8,'western dish made out of Herring'),</v>
      </c>
    </row>
    <row r="6" spans="1:5" ht="15.75" x14ac:dyDescent="0.3">
      <c r="A6" s="7">
        <v>11</v>
      </c>
      <c r="B6" s="7" t="s">
        <v>381</v>
      </c>
      <c r="C6">
        <v>10</v>
      </c>
      <c r="D6" t="s">
        <v>519</v>
      </c>
      <c r="E6" t="str">
        <f t="shared" si="0"/>
        <v>(11,'Stuffed Light Beer Lasagne',10,'asian dish made out of Lasagne'),</v>
      </c>
    </row>
    <row r="7" spans="1:5" ht="15.75" x14ac:dyDescent="0.3">
      <c r="A7" s="7">
        <v>12</v>
      </c>
      <c r="B7" s="7" t="s">
        <v>382</v>
      </c>
      <c r="C7">
        <v>14</v>
      </c>
      <c r="D7" t="s">
        <v>542</v>
      </c>
      <c r="E7" t="str">
        <f t="shared" si="0"/>
        <v>(12,'Thermal-Cooked Watercress Scrambled Egg',14,'beverage dish made out of Egg'),</v>
      </c>
    </row>
    <row r="8" spans="1:5" ht="15.75" x14ac:dyDescent="0.3">
      <c r="A8" s="7">
        <v>13</v>
      </c>
      <c r="B8" s="7" t="s">
        <v>383</v>
      </c>
      <c r="C8">
        <v>4</v>
      </c>
      <c r="D8" t="s">
        <v>487</v>
      </c>
      <c r="E8" t="str">
        <f t="shared" si="0"/>
        <v>(13,'Cranberry and Date Pastry',4,'western dish made out of Pastry'),</v>
      </c>
    </row>
    <row r="9" spans="1:5" ht="15.75" x14ac:dyDescent="0.3">
      <c r="A9" s="7">
        <v>14</v>
      </c>
      <c r="B9" s="7" t="s">
        <v>384</v>
      </c>
      <c r="C9">
        <v>2</v>
      </c>
      <c r="D9" s="8" t="s">
        <v>470</v>
      </c>
      <c r="E9" t="str">
        <f t="shared" si="0"/>
        <v>(14,'Lemon and Mint Gingerbread',2,'asian dish made out of Gingerbread'),</v>
      </c>
    </row>
    <row r="10" spans="1:5" ht="15.75" x14ac:dyDescent="0.3">
      <c r="A10" s="7">
        <v>15</v>
      </c>
      <c r="B10" s="7" t="s">
        <v>385</v>
      </c>
      <c r="C10">
        <v>12</v>
      </c>
      <c r="D10" t="s">
        <v>527</v>
      </c>
      <c r="E10" t="str">
        <f t="shared" si="0"/>
        <v>(15,'Apple Buns',12,'western dish made out of Buns'),</v>
      </c>
    </row>
    <row r="11" spans="1:5" ht="15.75" x14ac:dyDescent="0.3">
      <c r="A11" s="7">
        <v>16</v>
      </c>
      <c r="B11" s="7" t="s">
        <v>386</v>
      </c>
      <c r="C11">
        <v>9</v>
      </c>
      <c r="D11" t="s">
        <v>513</v>
      </c>
      <c r="E11" t="str">
        <f t="shared" si="0"/>
        <v>(16,'Dark Chocolate Tarte Tatin',9,'beverage dish made out of Tatin'),</v>
      </c>
    </row>
    <row r="12" spans="1:5" ht="15.75" x14ac:dyDescent="0.3">
      <c r="A12" s="7">
        <v>17</v>
      </c>
      <c r="B12" s="7" t="s">
        <v>387</v>
      </c>
      <c r="C12">
        <v>2</v>
      </c>
      <c r="D12" t="s">
        <v>471</v>
      </c>
      <c r="E12" t="str">
        <f t="shared" si="0"/>
        <v>(17,'Fire-Grilled Hot &amp; Spicy Pheasant',2,'asian dish made out of Pheasant'),</v>
      </c>
    </row>
    <row r="13" spans="1:5" ht="15.75" x14ac:dyDescent="0.3">
      <c r="A13" s="7">
        <v>18</v>
      </c>
      <c r="B13" s="7" t="s">
        <v>388</v>
      </c>
      <c r="C13">
        <v>12</v>
      </c>
      <c r="D13" t="s">
        <v>528</v>
      </c>
      <c r="E13" t="str">
        <f t="shared" si="0"/>
        <v>(18,'Oven-Baked Chilli Rabbit',12,'western dish made out of Rabbit'),</v>
      </c>
    </row>
    <row r="14" spans="1:5" ht="15.75" x14ac:dyDescent="0.3">
      <c r="A14" s="7">
        <v>19</v>
      </c>
      <c r="B14" s="7" t="s">
        <v>389</v>
      </c>
      <c r="C14">
        <v>13</v>
      </c>
      <c r="D14" t="s">
        <v>536</v>
      </c>
      <c r="E14" t="str">
        <f t="shared" si="0"/>
        <v>(19,'Barbecued Curry of Herring',13,'beverage dish made out of Herring'),</v>
      </c>
    </row>
    <row r="15" spans="1:5" ht="15.75" x14ac:dyDescent="0.3">
      <c r="A15" s="7">
        <v>20</v>
      </c>
      <c r="B15" s="7" t="s">
        <v>390</v>
      </c>
      <c r="C15">
        <v>8</v>
      </c>
      <c r="D15" t="s">
        <v>509</v>
      </c>
      <c r="E15" t="str">
        <f t="shared" si="0"/>
        <v>(20,'Gentle-Fried Hot &amp; Spicy Crocodile',8,'western dish made out of Crocodile'),</v>
      </c>
    </row>
    <row r="16" spans="1:5" ht="15.75" x14ac:dyDescent="0.3">
      <c r="A16" s="7">
        <v>21</v>
      </c>
      <c r="B16" s="7" t="s">
        <v>391</v>
      </c>
      <c r="C16">
        <v>10</v>
      </c>
      <c r="D16" t="s">
        <v>520</v>
      </c>
      <c r="E16" t="str">
        <f t="shared" si="0"/>
        <v>(21,'Barbecued Mint &amp; Orange Pasta',10,'asian dish made out of Pasta'),</v>
      </c>
    </row>
    <row r="17" spans="1:5" ht="15.75" x14ac:dyDescent="0.3">
      <c r="A17" s="7">
        <v>22</v>
      </c>
      <c r="B17" s="7" t="s">
        <v>392</v>
      </c>
      <c r="C17">
        <v>12</v>
      </c>
      <c r="D17" t="s">
        <v>529</v>
      </c>
      <c r="E17" t="str">
        <f t="shared" si="0"/>
        <v>(22,'Stir-Fried Pine Spring Vegetables',12,'western dish made out of Vegetables'),</v>
      </c>
    </row>
    <row r="18" spans="1:5" ht="15.75" x14ac:dyDescent="0.3">
      <c r="A18" s="7">
        <v>23</v>
      </c>
      <c r="B18" s="7" t="s">
        <v>393</v>
      </c>
      <c r="C18">
        <v>2</v>
      </c>
      <c r="D18" t="s">
        <v>472</v>
      </c>
      <c r="E18" t="str">
        <f t="shared" si="0"/>
        <v>(23,'Rum and Nutmeg Split',2,'asian dish made out of Split'),</v>
      </c>
    </row>
    <row r="19" spans="1:5" ht="15.75" x14ac:dyDescent="0.3">
      <c r="A19" s="7">
        <v>24</v>
      </c>
      <c r="B19" s="7" t="s">
        <v>394</v>
      </c>
      <c r="C19">
        <v>10</v>
      </c>
      <c r="D19" t="s">
        <v>521</v>
      </c>
      <c r="E19" t="str">
        <f t="shared" si="0"/>
        <v>(24,'Melon and Chestnut Toffee',10,'asian dish made out of Toffee'),</v>
      </c>
    </row>
    <row r="20" spans="1:5" ht="15.75" x14ac:dyDescent="0.3">
      <c r="A20" s="7">
        <v>25</v>
      </c>
      <c r="B20" s="7" t="s">
        <v>395</v>
      </c>
      <c r="C20">
        <v>5</v>
      </c>
      <c r="D20" t="s">
        <v>494</v>
      </c>
      <c r="E20" t="str">
        <f t="shared" si="0"/>
        <v>(25,'Almond Bread',5,'asian dish made out of Bread'),</v>
      </c>
    </row>
    <row r="21" spans="1:5" ht="15.75" x14ac:dyDescent="0.3">
      <c r="A21" s="7">
        <v>26</v>
      </c>
      <c r="B21" s="7" t="s">
        <v>396</v>
      </c>
      <c r="C21">
        <v>9</v>
      </c>
      <c r="D21" t="s">
        <v>514</v>
      </c>
      <c r="E21" t="str">
        <f t="shared" si="0"/>
        <v>(26,'Cocoa Pud',9,'beverage dish made out of Pud'),</v>
      </c>
    </row>
    <row r="22" spans="1:5" ht="15.75" x14ac:dyDescent="0.3">
      <c r="A22" s="7">
        <v>27</v>
      </c>
      <c r="B22" s="7" t="s">
        <v>397</v>
      </c>
      <c r="C22">
        <v>7</v>
      </c>
      <c r="D22" t="s">
        <v>503</v>
      </c>
      <c r="E22" t="str">
        <f t="shared" si="0"/>
        <v>(27,'Pan-Fried Garlic &amp; Lime Boar',7,'western dish made out of Boar'),</v>
      </c>
    </row>
    <row r="23" spans="1:5" ht="15.75" x14ac:dyDescent="0.3">
      <c r="A23" s="7">
        <v>28</v>
      </c>
      <c r="B23" s="7" t="s">
        <v>398</v>
      </c>
      <c r="C23">
        <v>10</v>
      </c>
      <c r="D23" t="s">
        <v>522</v>
      </c>
      <c r="E23" t="str">
        <f t="shared" si="0"/>
        <v>(28,'Stuffed Cranberry Duck',10,'asian dish made out of Duck'),</v>
      </c>
    </row>
    <row r="24" spans="1:5" ht="15.75" x14ac:dyDescent="0.3">
      <c r="A24" s="7">
        <v>29</v>
      </c>
      <c r="B24" s="7" t="s">
        <v>399</v>
      </c>
      <c r="C24">
        <v>9</v>
      </c>
      <c r="D24" t="s">
        <v>515</v>
      </c>
      <c r="E24" t="str">
        <f t="shared" si="0"/>
        <v>(29,'Oven-Grilled Confit of Scallops',9,'beverage dish made out of Scallops'),</v>
      </c>
    </row>
    <row r="25" spans="1:5" ht="15.75" x14ac:dyDescent="0.3">
      <c r="A25" s="7">
        <v>30</v>
      </c>
      <c r="B25" s="7" t="s">
        <v>400</v>
      </c>
      <c r="C25">
        <v>12</v>
      </c>
      <c r="D25" t="s">
        <v>530</v>
      </c>
      <c r="E25" t="str">
        <f t="shared" si="0"/>
        <v>(30,'Baked Egg &amp; Beet Shrimps',12,'western dish made out of Shrimps'),</v>
      </c>
    </row>
    <row r="26" spans="1:5" ht="15.75" x14ac:dyDescent="0.3">
      <c r="A26" s="7">
        <v>31</v>
      </c>
      <c r="B26" s="7" t="s">
        <v>401</v>
      </c>
      <c r="C26">
        <v>6</v>
      </c>
      <c r="D26" t="s">
        <v>498</v>
      </c>
      <c r="E26" t="str">
        <f t="shared" si="0"/>
        <v>(31,'Marinated Curry of Buns',6,'vegetable dish made out of Buns'),</v>
      </c>
    </row>
    <row r="27" spans="1:5" ht="15.75" x14ac:dyDescent="0.3">
      <c r="A27" s="7">
        <v>32</v>
      </c>
      <c r="B27" s="7" t="s">
        <v>402</v>
      </c>
      <c r="C27">
        <v>14</v>
      </c>
      <c r="D27" t="s">
        <v>543</v>
      </c>
      <c r="E27" t="str">
        <f t="shared" si="0"/>
        <v>(32,'Stewed Garlic &amp; Tomato Rice',14,'beverage dish made out of Rice'),</v>
      </c>
    </row>
    <row r="28" spans="1:5" ht="15.75" x14ac:dyDescent="0.3">
      <c r="A28" s="7">
        <v>33</v>
      </c>
      <c r="B28" s="7" t="s">
        <v>403</v>
      </c>
      <c r="C28">
        <v>14</v>
      </c>
      <c r="D28" t="s">
        <v>544</v>
      </c>
      <c r="E28" t="str">
        <f t="shared" si="0"/>
        <v>(33,'White Chocolate and Walnut Sundae',14,'beverage dish made out of Sundae'),</v>
      </c>
    </row>
    <row r="29" spans="1:5" ht="15.75" x14ac:dyDescent="0.3">
      <c r="A29" s="7">
        <v>34</v>
      </c>
      <c r="B29" s="7" t="s">
        <v>404</v>
      </c>
      <c r="C29">
        <v>12</v>
      </c>
      <c r="D29" t="s">
        <v>531</v>
      </c>
      <c r="E29" t="str">
        <f t="shared" si="0"/>
        <v>(34,'Orange and Vanilla Cake',12,'western dish made out of Cake'),</v>
      </c>
    </row>
    <row r="30" spans="1:5" ht="15.75" x14ac:dyDescent="0.3">
      <c r="A30" s="7">
        <v>35</v>
      </c>
      <c r="B30" s="7" t="s">
        <v>405</v>
      </c>
      <c r="C30">
        <v>7</v>
      </c>
      <c r="D30" t="s">
        <v>487</v>
      </c>
      <c r="E30" t="str">
        <f t="shared" si="0"/>
        <v>(35,'Chestnut Pastry',7,'western dish made out of Pastry'),</v>
      </c>
    </row>
    <row r="31" spans="1:5" ht="15.75" x14ac:dyDescent="0.3">
      <c r="A31" s="7">
        <v>36</v>
      </c>
      <c r="B31" s="7" t="s">
        <v>406</v>
      </c>
      <c r="C31">
        <v>15</v>
      </c>
      <c r="D31" t="s">
        <v>550</v>
      </c>
      <c r="E31" t="str">
        <f t="shared" si="0"/>
        <v>(36,'Cherry Toast',15,'western dish made out of Toast'),</v>
      </c>
    </row>
    <row r="32" spans="1:5" ht="15.75" x14ac:dyDescent="0.3">
      <c r="A32" s="7">
        <v>37</v>
      </c>
      <c r="B32" s="7" t="s">
        <v>407</v>
      </c>
      <c r="C32">
        <v>13</v>
      </c>
      <c r="D32" t="s">
        <v>518</v>
      </c>
      <c r="E32" t="str">
        <f t="shared" si="0"/>
        <v>(37,'Slow-Cooked Mountain Turkey',13,'beverage dish made out of Turkey'),</v>
      </c>
    </row>
    <row r="33" spans="1:5" ht="15.75" x14ac:dyDescent="0.3">
      <c r="A33" s="7">
        <v>38</v>
      </c>
      <c r="B33" s="7" t="s">
        <v>408</v>
      </c>
      <c r="C33">
        <v>3</v>
      </c>
      <c r="D33" t="s">
        <v>479</v>
      </c>
      <c r="E33" t="str">
        <f t="shared" si="0"/>
        <v>(38,'Shallow-Fried Peppermint Turkey',3,'fusion dish made out of Turkey'),</v>
      </c>
    </row>
    <row r="34" spans="1:5" ht="15.75" x14ac:dyDescent="0.3">
      <c r="A34" s="7">
        <v>39</v>
      </c>
      <c r="B34" s="7" t="s">
        <v>409</v>
      </c>
      <c r="C34">
        <v>13</v>
      </c>
      <c r="D34" t="s">
        <v>536</v>
      </c>
      <c r="E34" t="str">
        <f t="shared" si="0"/>
        <v>(39,'Cured Garlic &amp; Rosemary Herring',13,'beverage dish made out of Herring'),</v>
      </c>
    </row>
    <row r="35" spans="1:5" ht="15.75" x14ac:dyDescent="0.3">
      <c r="A35" s="7">
        <v>40</v>
      </c>
      <c r="B35" s="7" t="s">
        <v>410</v>
      </c>
      <c r="C35">
        <v>9</v>
      </c>
      <c r="D35" t="s">
        <v>516</v>
      </c>
      <c r="E35" t="str">
        <f t="shared" si="0"/>
        <v>(40,'Fried Mushroom Prawns',9,'beverage dish made out of Prawns'),</v>
      </c>
    </row>
    <row r="36" spans="1:5" ht="15.75" x14ac:dyDescent="0.3">
      <c r="A36" s="7">
        <v>41</v>
      </c>
      <c r="B36" s="7" t="s">
        <v>411</v>
      </c>
      <c r="C36">
        <v>6</v>
      </c>
      <c r="D36" t="s">
        <v>499</v>
      </c>
      <c r="E36" t="str">
        <f t="shared" si="0"/>
        <v>(41,'Tea-Smoked Cucumber &amp; Bread',6,'vegetable dish made out of Bread'),</v>
      </c>
    </row>
    <row r="37" spans="1:5" ht="15.75" x14ac:dyDescent="0.3">
      <c r="A37" s="7">
        <v>42</v>
      </c>
      <c r="B37" s="7" t="s">
        <v>412</v>
      </c>
      <c r="C37">
        <v>13</v>
      </c>
      <c r="D37" t="s">
        <v>537</v>
      </c>
      <c r="E37" t="str">
        <f t="shared" si="0"/>
        <v>(42,'Fire-Roasted Carrots &amp; Ginger Linguine',13,'beverage dish made out of Linguine'),</v>
      </c>
    </row>
    <row r="38" spans="1:5" ht="15.75" x14ac:dyDescent="0.3">
      <c r="A38" s="7">
        <v>43</v>
      </c>
      <c r="B38" s="7" t="s">
        <v>413</v>
      </c>
      <c r="C38">
        <v>15</v>
      </c>
      <c r="D38" t="s">
        <v>551</v>
      </c>
      <c r="E38" t="str">
        <f t="shared" si="0"/>
        <v>(43,'Chocolate and Walnut Yogurt',15,'western dish made out of Yogurt'),</v>
      </c>
    </row>
    <row r="39" spans="1:5" ht="15.75" x14ac:dyDescent="0.3">
      <c r="A39" s="7">
        <v>44</v>
      </c>
      <c r="B39" s="7" t="s">
        <v>414</v>
      </c>
      <c r="C39">
        <v>2</v>
      </c>
      <c r="D39" t="s">
        <v>473</v>
      </c>
      <c r="E39" t="str">
        <f t="shared" si="0"/>
        <v>(44,'Grape and Blueberry Pound Cake',2,'asian dish made out of Cake'),</v>
      </c>
    </row>
    <row r="40" spans="1:5" ht="15.75" x14ac:dyDescent="0.3">
      <c r="A40" s="7">
        <v>45</v>
      </c>
      <c r="B40" s="7" t="s">
        <v>415</v>
      </c>
      <c r="C40">
        <v>13</v>
      </c>
      <c r="D40" t="s">
        <v>538</v>
      </c>
      <c r="E40" t="str">
        <f t="shared" si="0"/>
        <v>(45,'Peach Wafer',13,'beverage dish made out of Wafer'),</v>
      </c>
    </row>
    <row r="41" spans="1:5" ht="15.75" x14ac:dyDescent="0.3">
      <c r="A41" s="7">
        <v>46</v>
      </c>
      <c r="B41" s="7" t="s">
        <v>416</v>
      </c>
      <c r="C41">
        <v>2</v>
      </c>
      <c r="D41" t="s">
        <v>474</v>
      </c>
      <c r="E41" t="str">
        <f t="shared" si="0"/>
        <v>(46,'Lime Roll',2,'asian dish made out of Roll'),</v>
      </c>
    </row>
    <row r="42" spans="1:5" ht="15.75" x14ac:dyDescent="0.3">
      <c r="A42" s="7">
        <v>47</v>
      </c>
      <c r="B42" s="7" t="s">
        <v>417</v>
      </c>
      <c r="C42">
        <v>13</v>
      </c>
      <c r="D42" t="s">
        <v>539</v>
      </c>
      <c r="E42" t="str">
        <f t="shared" si="0"/>
        <v>(47,'Oven-Baked Carrots &amp; Ginger Mutton',13,'beverage dish made out of Mutton'),</v>
      </c>
    </row>
    <row r="43" spans="1:5" ht="15.75" x14ac:dyDescent="0.3">
      <c r="A43" s="7">
        <v>48</v>
      </c>
      <c r="B43" s="7" t="s">
        <v>418</v>
      </c>
      <c r="C43">
        <v>4</v>
      </c>
      <c r="D43" t="s">
        <v>488</v>
      </c>
      <c r="E43" t="str">
        <f t="shared" si="0"/>
        <v>(48,'Brined Rosemary Chicken',4,'western dish made out of Chicken'),</v>
      </c>
    </row>
    <row r="44" spans="1:5" ht="15.75" x14ac:dyDescent="0.3">
      <c r="A44" s="7">
        <v>49</v>
      </c>
      <c r="B44" s="7" t="s">
        <v>419</v>
      </c>
      <c r="C44">
        <v>11</v>
      </c>
      <c r="D44" t="s">
        <v>524</v>
      </c>
      <c r="E44" t="str">
        <f t="shared" si="0"/>
        <v>(49,'Marinated Sweet &amp; Fresh Lobster',11,'fusion dish made out of Lobster'),</v>
      </c>
    </row>
    <row r="45" spans="1:5" ht="15.75" x14ac:dyDescent="0.3">
      <c r="A45" s="7">
        <v>50</v>
      </c>
      <c r="B45" s="7" t="s">
        <v>420</v>
      </c>
      <c r="C45">
        <v>8</v>
      </c>
      <c r="D45" t="s">
        <v>510</v>
      </c>
      <c r="E45" t="str">
        <f t="shared" si="0"/>
        <v>(50,'Shallow-Fried Basil &amp; Clove Fish',8,'western dish made out of Fish'),</v>
      </c>
    </row>
    <row r="46" spans="1:5" ht="15.75" x14ac:dyDescent="0.3">
      <c r="A46" s="7">
        <v>51</v>
      </c>
      <c r="B46" s="7" t="s">
        <v>421</v>
      </c>
      <c r="C46">
        <v>15</v>
      </c>
      <c r="D46" t="s">
        <v>552</v>
      </c>
      <c r="E46" t="str">
        <f t="shared" si="0"/>
        <v>(51,'Oven-Grilled Basil &amp; Clove Soup',15,'western dish made out of Soup'),</v>
      </c>
    </row>
    <row r="47" spans="1:5" ht="15.75" x14ac:dyDescent="0.3">
      <c r="A47" s="7">
        <v>52</v>
      </c>
      <c r="B47" s="7" t="s">
        <v>422</v>
      </c>
      <c r="C47">
        <v>8</v>
      </c>
      <c r="D47" t="s">
        <v>511</v>
      </c>
      <c r="E47" t="str">
        <f t="shared" si="0"/>
        <v>(52,'Simmered Pasta &amp; Taco',8,'western dish made out of Taco'),</v>
      </c>
    </row>
    <row r="48" spans="1:5" ht="15.75" x14ac:dyDescent="0.3">
      <c r="A48" s="7">
        <v>53</v>
      </c>
      <c r="B48" s="7" t="s">
        <v>423</v>
      </c>
      <c r="C48">
        <v>14</v>
      </c>
      <c r="D48" t="s">
        <v>545</v>
      </c>
      <c r="E48" t="str">
        <f t="shared" si="0"/>
        <v>(53,'Cherry and Raspberry Cheesecake',14,'beverage dish made out of Cheesecake'),</v>
      </c>
    </row>
    <row r="49" spans="1:5" ht="15.75" x14ac:dyDescent="0.3">
      <c r="A49" s="7">
        <v>54</v>
      </c>
      <c r="B49" s="7" t="s">
        <v>424</v>
      </c>
      <c r="C49">
        <v>9</v>
      </c>
      <c r="D49" t="s">
        <v>517</v>
      </c>
      <c r="E49" t="str">
        <f t="shared" si="0"/>
        <v>(54,'Passion Fruit and Coconut Gingerbread',9,'beverage dish made out of Gingerbread'),</v>
      </c>
    </row>
    <row r="50" spans="1:5" ht="15.75" x14ac:dyDescent="0.3">
      <c r="A50" s="7">
        <v>55</v>
      </c>
      <c r="B50" s="7" t="s">
        <v>425</v>
      </c>
      <c r="C50">
        <v>5</v>
      </c>
      <c r="D50" t="s">
        <v>495</v>
      </c>
      <c r="E50" t="str">
        <f t="shared" si="0"/>
        <v>(55,'Praline Buns',5,'asian dish made out of Buns'),</v>
      </c>
    </row>
    <row r="51" spans="1:5" ht="15.75" x14ac:dyDescent="0.3">
      <c r="A51" s="7">
        <v>56</v>
      </c>
      <c r="B51" s="7" t="s">
        <v>426</v>
      </c>
      <c r="C51">
        <v>3</v>
      </c>
      <c r="D51" t="s">
        <v>480</v>
      </c>
      <c r="E51" t="str">
        <f t="shared" si="0"/>
        <v>(56,'Walnut Sorbet',3,'fusion dish made out of Sorbet'),</v>
      </c>
    </row>
    <row r="52" spans="1:5" ht="15.75" x14ac:dyDescent="0.3">
      <c r="A52" s="7">
        <v>57</v>
      </c>
      <c r="B52" s="7" t="s">
        <v>430</v>
      </c>
      <c r="C52">
        <v>8</v>
      </c>
      <c r="D52" t="s">
        <v>503</v>
      </c>
      <c r="E52" t="str">
        <f t="shared" si="0"/>
        <v>(57,'Fire-Grilled Lime &amp; Ginger Boar',8,'western dish made out of Boar'),</v>
      </c>
    </row>
    <row r="53" spans="1:5" ht="15.75" x14ac:dyDescent="0.3">
      <c r="A53" s="7">
        <v>58</v>
      </c>
      <c r="B53" s="7" t="s">
        <v>431</v>
      </c>
      <c r="C53">
        <v>8</v>
      </c>
      <c r="D53" t="s">
        <v>512</v>
      </c>
      <c r="E53" t="str">
        <f t="shared" si="0"/>
        <v>(58,'Slow-Cooked Beets &amp; Lemon Venison',8,'western dish made out of Venison'),</v>
      </c>
    </row>
    <row r="54" spans="1:5" ht="15.75" x14ac:dyDescent="0.3">
      <c r="A54" s="7">
        <v>59</v>
      </c>
      <c r="B54" s="7" t="s">
        <v>432</v>
      </c>
      <c r="C54">
        <v>12</v>
      </c>
      <c r="D54" t="s">
        <v>532</v>
      </c>
      <c r="E54" t="str">
        <f t="shared" si="0"/>
        <v>(59,'Broasted Fennel &amp; Lemon Tuna',12,'western dish made out of Tuna'),</v>
      </c>
    </row>
    <row r="55" spans="1:5" ht="15.75" x14ac:dyDescent="0.3">
      <c r="A55" s="7">
        <v>60</v>
      </c>
      <c r="B55" s="7" t="s">
        <v>433</v>
      </c>
      <c r="C55">
        <v>5</v>
      </c>
      <c r="D55" t="s">
        <v>496</v>
      </c>
      <c r="E55" t="str">
        <f t="shared" si="0"/>
        <v>(60,'Barbecued Peppermint Cockles',5,'asian dish made out of Cockles'),</v>
      </c>
    </row>
    <row r="56" spans="1:5" ht="15.75" x14ac:dyDescent="0.3">
      <c r="A56" s="7">
        <v>61</v>
      </c>
      <c r="B56" s="7" t="s">
        <v>434</v>
      </c>
      <c r="C56">
        <v>2</v>
      </c>
      <c r="D56" t="s">
        <v>475</v>
      </c>
      <c r="E56" t="str">
        <f t="shared" si="0"/>
        <v>(61,'Engine-Cooked Onions &amp; Tomato Winter Vegetables',2,'asian dish made out of Vegetables'),</v>
      </c>
    </row>
    <row r="57" spans="1:5" ht="15.75" x14ac:dyDescent="0.3">
      <c r="A57" s="7">
        <v>62</v>
      </c>
      <c r="B57" s="7" t="s">
        <v>435</v>
      </c>
      <c r="C57">
        <v>4</v>
      </c>
      <c r="D57" t="s">
        <v>489</v>
      </c>
      <c r="E57" t="str">
        <f t="shared" si="0"/>
        <v>(62,'Stewed Chilli Tart',4,'western dish made out of Tart'),</v>
      </c>
    </row>
    <row r="58" spans="1:5" ht="15.75" x14ac:dyDescent="0.3">
      <c r="A58" s="7">
        <v>63</v>
      </c>
      <c r="B58" s="7" t="s">
        <v>436</v>
      </c>
      <c r="C58">
        <v>4</v>
      </c>
      <c r="D58" t="s">
        <v>490</v>
      </c>
      <c r="E58" t="str">
        <f t="shared" si="0"/>
        <v>(63,'Coconut and Passion Fruit Roll',4,'western dish made out of Roll'),</v>
      </c>
    </row>
    <row r="59" spans="1:5" ht="15.75" x14ac:dyDescent="0.3">
      <c r="A59" s="7">
        <v>64</v>
      </c>
      <c r="B59" s="7" t="s">
        <v>437</v>
      </c>
      <c r="C59">
        <v>14</v>
      </c>
      <c r="D59" t="s">
        <v>546</v>
      </c>
      <c r="E59" t="str">
        <f t="shared" si="0"/>
        <v>(64,'Coffee and Milk Chocolate Genoise',14,'beverage dish made out of Genoise'),</v>
      </c>
    </row>
    <row r="60" spans="1:5" ht="15.75" x14ac:dyDescent="0.3">
      <c r="A60" s="7">
        <v>65</v>
      </c>
      <c r="B60" s="7" t="s">
        <v>438</v>
      </c>
      <c r="C60">
        <v>2</v>
      </c>
      <c r="D60" t="s">
        <v>476</v>
      </c>
      <c r="E60" t="str">
        <f t="shared" si="0"/>
        <v>(65,'Hazelnut Bombe',2,'asian dish made out of Bombe'),</v>
      </c>
    </row>
    <row r="61" spans="1:5" ht="15.75" x14ac:dyDescent="0.3">
      <c r="A61" s="7">
        <v>66</v>
      </c>
      <c r="B61" s="7" t="s">
        <v>439</v>
      </c>
      <c r="C61">
        <v>6</v>
      </c>
      <c r="D61" t="s">
        <v>500</v>
      </c>
      <c r="E61" t="str">
        <f t="shared" si="0"/>
        <v>(66,'Peanut Yogurt',6,'vegetable dish made out of Yogurt'),</v>
      </c>
    </row>
    <row r="62" spans="1:5" ht="15.75" x14ac:dyDescent="0.3">
      <c r="A62" s="7">
        <v>67</v>
      </c>
      <c r="B62" s="7" t="s">
        <v>440</v>
      </c>
      <c r="C62">
        <v>4</v>
      </c>
      <c r="D62" t="s">
        <v>491</v>
      </c>
      <c r="E62" t="str">
        <f t="shared" si="0"/>
        <v>(67,'Marinated Forest Lamb',4,'western dish made out of Lamb'),</v>
      </c>
    </row>
    <row r="63" spans="1:5" ht="15.75" x14ac:dyDescent="0.3">
      <c r="A63" s="7">
        <v>68</v>
      </c>
      <c r="B63" s="7" t="s">
        <v>441</v>
      </c>
      <c r="C63">
        <v>2</v>
      </c>
      <c r="D63" t="s">
        <v>477</v>
      </c>
      <c r="E63" t="str">
        <f t="shared" si="0"/>
        <v>(68,'Broasted Egg &amp; Beans Pork',2,'asian dish made out of Pork'),</v>
      </c>
    </row>
    <row r="64" spans="1:5" ht="15.75" x14ac:dyDescent="0.3">
      <c r="A64" s="7">
        <v>69</v>
      </c>
      <c r="B64" s="7" t="s">
        <v>442</v>
      </c>
      <c r="C64">
        <v>7</v>
      </c>
      <c r="D64" t="s">
        <v>504</v>
      </c>
      <c r="E64" t="str">
        <f t="shared" si="0"/>
        <v>(69,'Gentle-Fried Rhubarb Oysters',7,'western dish made out of Oysters'),</v>
      </c>
    </row>
    <row r="65" spans="1:5" ht="15.75" x14ac:dyDescent="0.3">
      <c r="A65" s="7">
        <v>70</v>
      </c>
      <c r="B65" s="7" t="s">
        <v>443</v>
      </c>
      <c r="C65">
        <v>3</v>
      </c>
      <c r="D65" t="s">
        <v>481</v>
      </c>
      <c r="E65" t="str">
        <f t="shared" si="0"/>
        <v>(70,'Thermal-Cooked Souther-Style Prawns',3,'fusion dish made out of Prawns'),</v>
      </c>
    </row>
    <row r="66" spans="1:5" ht="15.75" x14ac:dyDescent="0.3">
      <c r="A66" s="7">
        <v>71</v>
      </c>
      <c r="B66" s="7" t="s">
        <v>444</v>
      </c>
      <c r="C66">
        <v>15</v>
      </c>
      <c r="D66" t="s">
        <v>553</v>
      </c>
      <c r="E66" t="str">
        <f t="shared" si="0"/>
        <v>(71,'Pressure-Cooked Orange &amp; Mustard Spring Greens',15,'western dish made out of Greens'),</v>
      </c>
    </row>
    <row r="67" spans="1:5" ht="15.75" x14ac:dyDescent="0.3">
      <c r="A67" s="7">
        <v>72</v>
      </c>
      <c r="B67" s="7" t="s">
        <v>445</v>
      </c>
      <c r="C67">
        <v>3</v>
      </c>
      <c r="D67" t="s">
        <v>482</v>
      </c>
      <c r="E67" t="str">
        <f t="shared" ref="E67:E91" si="1">SqlGenerator(A67:D67)</f>
        <v>(72,'Poached Carrots &amp; Ginger Pasta',3,'fusion dish made out of Pasta'),</v>
      </c>
    </row>
    <row r="68" spans="1:5" ht="15.75" x14ac:dyDescent="0.3">
      <c r="A68" s="7">
        <v>73</v>
      </c>
      <c r="B68" s="7" t="s">
        <v>446</v>
      </c>
      <c r="C68">
        <v>3</v>
      </c>
      <c r="D68" t="s">
        <v>483</v>
      </c>
      <c r="E68" t="str">
        <f t="shared" si="1"/>
        <v>(73,'Peach and Passion Fruit Molten Cake',3,'fusion dish made out of Cake'),</v>
      </c>
    </row>
    <row r="69" spans="1:5" ht="15.75" x14ac:dyDescent="0.3">
      <c r="A69" s="7">
        <v>74</v>
      </c>
      <c r="B69" s="7" t="s">
        <v>447</v>
      </c>
      <c r="C69">
        <v>14</v>
      </c>
      <c r="D69" t="s">
        <v>547</v>
      </c>
      <c r="E69" t="str">
        <f t="shared" si="1"/>
        <v>(74,'Mango and Lemon Split',14,'beverage dish made out of Split'),</v>
      </c>
    </row>
    <row r="70" spans="1:5" ht="15.75" x14ac:dyDescent="0.3">
      <c r="A70" s="7">
        <v>75</v>
      </c>
      <c r="B70" s="7" t="s">
        <v>448</v>
      </c>
      <c r="C70">
        <v>5</v>
      </c>
      <c r="D70" t="s">
        <v>470</v>
      </c>
      <c r="E70" t="str">
        <f t="shared" si="1"/>
        <v>(75,'Ginger Gingerbread',5,'asian dish made out of Gingerbread'),</v>
      </c>
    </row>
    <row r="71" spans="1:5" ht="15.75" x14ac:dyDescent="0.3">
      <c r="A71" s="7">
        <v>76</v>
      </c>
      <c r="B71" s="7" t="s">
        <v>449</v>
      </c>
      <c r="C71">
        <v>12</v>
      </c>
      <c r="D71" t="s">
        <v>533</v>
      </c>
      <c r="E71" t="str">
        <f t="shared" si="1"/>
        <v>(76,'Rum Cookies',12,'western dish made out of Cookies'),</v>
      </c>
    </row>
    <row r="72" spans="1:5" ht="15.75" x14ac:dyDescent="0.3">
      <c r="A72" s="7">
        <v>77</v>
      </c>
      <c r="B72" s="7" t="s">
        <v>450</v>
      </c>
      <c r="C72">
        <v>9</v>
      </c>
      <c r="D72" t="s">
        <v>518</v>
      </c>
      <c r="E72" t="str">
        <f t="shared" si="1"/>
        <v>(77,'Cooked Sweet &amp; Spicy Turkey',9,'beverage dish made out of Turkey'),</v>
      </c>
    </row>
    <row r="73" spans="1:5" ht="15.75" x14ac:dyDescent="0.3">
      <c r="A73" s="7">
        <v>78</v>
      </c>
      <c r="B73" s="7" t="s">
        <v>451</v>
      </c>
      <c r="C73">
        <v>3</v>
      </c>
      <c r="D73" t="s">
        <v>484</v>
      </c>
      <c r="E73" t="str">
        <f t="shared" si="1"/>
        <v>(78,'Fire-Grilled Garlic &amp; Ginger Ostrich',3,'fusion dish made out of Ostrich'),</v>
      </c>
    </row>
    <row r="74" spans="1:5" ht="15.75" x14ac:dyDescent="0.3">
      <c r="A74" s="7">
        <v>79</v>
      </c>
      <c r="B74" s="7" t="s">
        <v>452</v>
      </c>
      <c r="C74">
        <v>13</v>
      </c>
      <c r="D74" t="s">
        <v>540</v>
      </c>
      <c r="E74" t="str">
        <f t="shared" si="1"/>
        <v>(79,'Oven-Baked Dark Ale Oysters',13,'beverage dish made out of Oysters'),</v>
      </c>
    </row>
    <row r="75" spans="1:5" ht="15.75" x14ac:dyDescent="0.3">
      <c r="A75" s="7">
        <v>80</v>
      </c>
      <c r="B75" s="7" t="s">
        <v>453</v>
      </c>
      <c r="C75">
        <v>7</v>
      </c>
      <c r="D75" t="s">
        <v>505</v>
      </c>
      <c r="E75" t="str">
        <f t="shared" si="1"/>
        <v>(80,'Dried Carrot &amp; Corriander Frog',7,'western dish made out of Frog'),</v>
      </c>
    </row>
    <row r="76" spans="1:5" ht="15.75" x14ac:dyDescent="0.3">
      <c r="A76" s="7">
        <v>81</v>
      </c>
      <c r="B76" s="7" t="s">
        <v>454</v>
      </c>
      <c r="C76">
        <v>11</v>
      </c>
      <c r="D76" t="s">
        <v>525</v>
      </c>
      <c r="E76" t="str">
        <f t="shared" si="1"/>
        <v>(81,'Dried Fennel &amp; Garlic Spring Greens',11,'fusion dish made out of Greens'),</v>
      </c>
    </row>
    <row r="77" spans="1:5" ht="15.75" x14ac:dyDescent="0.3">
      <c r="A77" s="7">
        <v>82</v>
      </c>
      <c r="B77" s="7" t="s">
        <v>455</v>
      </c>
      <c r="C77">
        <v>12</v>
      </c>
      <c r="D77" t="s">
        <v>534</v>
      </c>
      <c r="E77" t="str">
        <f t="shared" si="1"/>
        <v>(82,'Seared Nuts &amp; Walnuts',12,'western dish made out of Walnuts'),</v>
      </c>
    </row>
    <row r="78" spans="1:5" ht="15.75" x14ac:dyDescent="0.3">
      <c r="A78" s="7">
        <v>83</v>
      </c>
      <c r="B78" s="7" t="s">
        <v>456</v>
      </c>
      <c r="C78">
        <v>13</v>
      </c>
      <c r="D78" t="s">
        <v>541</v>
      </c>
      <c r="E78" t="str">
        <f t="shared" si="1"/>
        <v>(83,'Pecan and Red Wine Bonbons',13,'beverage dish made out of Bonbons'),</v>
      </c>
    </row>
    <row r="79" spans="1:5" ht="15.75" x14ac:dyDescent="0.3">
      <c r="A79" s="7">
        <v>84</v>
      </c>
      <c r="B79" s="7" t="s">
        <v>457</v>
      </c>
      <c r="C79">
        <v>14</v>
      </c>
      <c r="D79" t="s">
        <v>548</v>
      </c>
      <c r="E79" t="str">
        <f t="shared" si="1"/>
        <v>(84,'Red Wine and Orange Roll',14,'beverage dish made out of Roll'),</v>
      </c>
    </row>
    <row r="80" spans="1:5" ht="15.75" x14ac:dyDescent="0.3">
      <c r="A80" s="7">
        <v>85</v>
      </c>
      <c r="B80" s="7" t="s">
        <v>458</v>
      </c>
      <c r="C80">
        <v>10</v>
      </c>
      <c r="D80" t="s">
        <v>523</v>
      </c>
      <c r="E80" t="str">
        <f t="shared" si="1"/>
        <v>(85,'Saffron Fruitcake',10,'asian dish made out of Fruitcake'),</v>
      </c>
    </row>
    <row r="81" spans="1:5" ht="15.75" x14ac:dyDescent="0.3">
      <c r="A81" s="7">
        <v>86</v>
      </c>
      <c r="B81" s="7" t="s">
        <v>459</v>
      </c>
      <c r="C81">
        <v>7</v>
      </c>
      <c r="D81" t="s">
        <v>506</v>
      </c>
      <c r="E81" t="str">
        <f t="shared" si="1"/>
        <v>(86,'Strawberry Sundae',7,'western dish made out of Sundae'),</v>
      </c>
    </row>
    <row r="82" spans="1:5" ht="15.75" x14ac:dyDescent="0.3">
      <c r="A82" s="7">
        <v>87</v>
      </c>
      <c r="B82" s="7" t="s">
        <v>460</v>
      </c>
      <c r="C82">
        <v>11</v>
      </c>
      <c r="D82" t="s">
        <v>526</v>
      </c>
      <c r="E82" t="str">
        <f t="shared" si="1"/>
        <v>(87,'Blanched Peach &amp; Vinegar Quail',11,'fusion dish made out of Quail'),</v>
      </c>
    </row>
    <row r="83" spans="1:5" ht="15.75" x14ac:dyDescent="0.3">
      <c r="A83" s="7">
        <v>88</v>
      </c>
      <c r="B83" s="7" t="s">
        <v>461</v>
      </c>
      <c r="C83">
        <v>2</v>
      </c>
      <c r="D83" t="s">
        <v>478</v>
      </c>
      <c r="E83" t="str">
        <f t="shared" si="1"/>
        <v>(88,'Pan-Fried Wasabi Horse',2,'asian dish made out of Horse'),</v>
      </c>
    </row>
    <row r="84" spans="1:5" ht="15.75" x14ac:dyDescent="0.3">
      <c r="A84" s="7">
        <v>89</v>
      </c>
      <c r="B84" s="7" t="s">
        <v>462</v>
      </c>
      <c r="C84">
        <v>5</v>
      </c>
      <c r="D84" t="s">
        <v>497</v>
      </c>
      <c r="E84" t="str">
        <f t="shared" si="1"/>
        <v>(89,'Infused Juniper Crab',5,'asian dish made out of Crab'),</v>
      </c>
    </row>
    <row r="85" spans="1:5" ht="15.75" x14ac:dyDescent="0.3">
      <c r="A85" s="7">
        <v>90</v>
      </c>
      <c r="B85" s="7" t="s">
        <v>463</v>
      </c>
      <c r="C85">
        <v>3</v>
      </c>
      <c r="D85" t="s">
        <v>485</v>
      </c>
      <c r="E85" t="str">
        <f t="shared" si="1"/>
        <v>(90,'Poached Forest Oysters',3,'fusion dish made out of Oysters'),</v>
      </c>
    </row>
    <row r="86" spans="1:5" ht="15.75" x14ac:dyDescent="0.3">
      <c r="A86" s="7">
        <v>91</v>
      </c>
      <c r="B86" s="7" t="s">
        <v>464</v>
      </c>
      <c r="C86">
        <v>6</v>
      </c>
      <c r="D86" t="s">
        <v>501</v>
      </c>
      <c r="E86" t="str">
        <f t="shared" si="1"/>
        <v>(91,'Barbecued Orange Forest Mushrooms',6,'vegetable dish made out of Mushrooms'),</v>
      </c>
    </row>
    <row r="87" spans="1:5" ht="15.75" x14ac:dyDescent="0.3">
      <c r="A87" s="7">
        <v>92</v>
      </c>
      <c r="B87" s="7" t="s">
        <v>465</v>
      </c>
      <c r="C87">
        <v>15</v>
      </c>
      <c r="D87" t="s">
        <v>529</v>
      </c>
      <c r="E87" t="str">
        <f t="shared" si="1"/>
        <v>(92,'Simmered Egg &amp; Coconut Winter Vegetables',15,'western dish made out of Vegetables'),</v>
      </c>
    </row>
    <row r="88" spans="1:5" ht="15.75" x14ac:dyDescent="0.3">
      <c r="A88" s="7">
        <v>93</v>
      </c>
      <c r="B88" s="7" t="s">
        <v>466</v>
      </c>
      <c r="C88">
        <v>7</v>
      </c>
      <c r="D88" t="s">
        <v>507</v>
      </c>
      <c r="E88" t="str">
        <f t="shared" si="1"/>
        <v>(93,'Guava and Date Pie',7,'western dish made out of Pie'),</v>
      </c>
    </row>
    <row r="89" spans="1:5" ht="15.75" x14ac:dyDescent="0.3">
      <c r="A89" s="7">
        <v>94</v>
      </c>
      <c r="B89" s="7" t="s">
        <v>467</v>
      </c>
      <c r="C89">
        <v>12</v>
      </c>
      <c r="D89" t="s">
        <v>535</v>
      </c>
      <c r="E89" t="str">
        <f t="shared" si="1"/>
        <v>(94,'Honey and Avocado Bombe',12,'western dish made out of Bombe'),</v>
      </c>
    </row>
    <row r="90" spans="1:5" ht="15.75" x14ac:dyDescent="0.3">
      <c r="A90" s="7">
        <v>95</v>
      </c>
      <c r="B90" s="7" t="s">
        <v>468</v>
      </c>
      <c r="C90">
        <v>4</v>
      </c>
      <c r="D90" t="s">
        <v>492</v>
      </c>
      <c r="E90" t="str">
        <f t="shared" si="1"/>
        <v>(95,'Apple Fruitcake',4,'western dish made out of Fruitcake'),</v>
      </c>
    </row>
    <row r="91" spans="1:5" ht="15.75" x14ac:dyDescent="0.3">
      <c r="A91" s="7">
        <v>96</v>
      </c>
      <c r="B91" s="7" t="s">
        <v>469</v>
      </c>
      <c r="C91">
        <v>3</v>
      </c>
      <c r="D91" t="s">
        <v>486</v>
      </c>
      <c r="E91" t="str">
        <f t="shared" si="1"/>
        <v>(96,'Pistachio Fudge',3,'fusion dish made out of Fudge'),</v>
      </c>
    </row>
  </sheetData>
  <autoFilter ref="A1:D91">
    <sortState ref="A2:D91">
      <sortCondition ref="A1:A91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00"/>
  <sheetViews>
    <sheetView workbookViewId="0">
      <selection activeCell="C7" sqref="C7"/>
    </sheetView>
  </sheetViews>
  <sheetFormatPr defaultRowHeight="15" x14ac:dyDescent="0.25"/>
  <cols>
    <col min="2" max="7" width="22.5703125" customWidth="1"/>
  </cols>
  <sheetData>
    <row r="2" spans="2:7" x14ac:dyDescent="0.25">
      <c r="B2" t="s">
        <v>554</v>
      </c>
      <c r="C2" t="s">
        <v>193</v>
      </c>
      <c r="D2" t="s">
        <v>555</v>
      </c>
      <c r="E2" t="s">
        <v>556</v>
      </c>
      <c r="F2" t="s">
        <v>557</v>
      </c>
      <c r="G2" t="s">
        <v>558</v>
      </c>
    </row>
    <row r="3" spans="2:7" x14ac:dyDescent="0.25">
      <c r="B3">
        <f ca="1">RANDBETWEEN(7,96)</f>
        <v>87</v>
      </c>
      <c r="C3" t="str">
        <f>randomselection('Ingredient Confirm'!$B$2:$B$406)</f>
        <v>spearmint</v>
      </c>
      <c r="D3">
        <f ca="1">RANDBETWEEN(1,2)</f>
        <v>1</v>
      </c>
      <c r="E3">
        <f ca="1">VLOOKUP(B3,Dish!$A$1:$C$91,3,FALSE)</f>
        <v>11</v>
      </c>
      <c r="F3" t="e">
        <f>VLOOKUP(C3,'Ingredient Confirm'!$B$1:$F$406,6,FALSE)</f>
        <v>#REF!</v>
      </c>
      <c r="G3" t="str">
        <f>VLOOKUP(C3,'Ingredient Confirm'!$B$1:$F$406,2,FALSE)</f>
        <v>package</v>
      </c>
    </row>
    <row r="4" spans="2:7" x14ac:dyDescent="0.25">
      <c r="B4">
        <f t="shared" ref="B4:B67" ca="1" si="0">RANDBETWEEN(7,96)</f>
        <v>89</v>
      </c>
      <c r="C4" t="str">
        <f>randomselection('Ingredient Confirm'!$B$2:$B$406)</f>
        <v>brandy</v>
      </c>
      <c r="D4">
        <f t="shared" ref="D4:D67" ca="1" si="1">RANDBETWEEN(1,2)</f>
        <v>1</v>
      </c>
      <c r="E4">
        <f ca="1">VLOOKUP(B4,Dish!$A$1:$C$91,3,FALSE)</f>
        <v>5</v>
      </c>
      <c r="F4" t="e">
        <f>VLOOKUP(C4,'Ingredient Confirm'!$B$1:$F$406,6,FALSE)</f>
        <v>#REF!</v>
      </c>
      <c r="G4" t="str">
        <f>VLOOKUP(C4,'Ingredient Confirm'!$B$1:$F$406,2,FALSE)</f>
        <v>bottle</v>
      </c>
    </row>
    <row r="5" spans="2:7" x14ac:dyDescent="0.25">
      <c r="B5">
        <f t="shared" ca="1" si="0"/>
        <v>84</v>
      </c>
      <c r="C5" t="str">
        <f>randomselection('Ingredient Confirm'!$B$2:$B$406)</f>
        <v>corned beef</v>
      </c>
      <c r="D5">
        <f t="shared" ca="1" si="1"/>
        <v>1</v>
      </c>
      <c r="E5">
        <f ca="1">VLOOKUP(B5,Dish!$A$1:$C$91,3,FALSE)</f>
        <v>14</v>
      </c>
      <c r="F5" t="e">
        <f>VLOOKUP(C5,'Ingredient Confirm'!$B$1:$F$406,6,FALSE)</f>
        <v>#REF!</v>
      </c>
      <c r="G5" t="str">
        <f>VLOOKUP(C5,'Ingredient Confirm'!$B$1:$F$406,2,FALSE)</f>
        <v>can</v>
      </c>
    </row>
    <row r="6" spans="2:7" x14ac:dyDescent="0.25">
      <c r="B6">
        <f t="shared" ca="1" si="0"/>
        <v>16</v>
      </c>
      <c r="C6" t="str">
        <f>randomselection('Ingredient Confirm'!$B$2:$B$406)</f>
        <v>red pepper flakes</v>
      </c>
      <c r="D6">
        <f t="shared" ca="1" si="1"/>
        <v>2</v>
      </c>
      <c r="E6">
        <f ca="1">VLOOKUP(B6,Dish!$A$1:$C$91,3,FALSE)</f>
        <v>9</v>
      </c>
      <c r="F6" t="e">
        <f>VLOOKUP(C6,'Ingredient Confirm'!$B$1:$F$406,6,FALSE)</f>
        <v>#REF!</v>
      </c>
      <c r="G6" t="str">
        <f>VLOOKUP(C6,'Ingredient Confirm'!$B$1:$F$406,2,FALSE)</f>
        <v>package</v>
      </c>
    </row>
    <row r="7" spans="2:7" x14ac:dyDescent="0.25">
      <c r="B7">
        <f t="shared" ca="1" si="0"/>
        <v>32</v>
      </c>
      <c r="C7" t="str">
        <f>randomselection('Ingredient Confirm'!$B$2:$B$406)</f>
        <v>rose water</v>
      </c>
      <c r="D7">
        <f t="shared" ca="1" si="1"/>
        <v>1</v>
      </c>
      <c r="E7">
        <f ca="1">VLOOKUP(B7,Dish!$A$1:$C$91,3,FALSE)</f>
        <v>14</v>
      </c>
      <c r="F7" t="e">
        <f>VLOOKUP(C7,'Ingredient Confirm'!$B$1:$F$406,6,FALSE)</f>
        <v>#REF!</v>
      </c>
      <c r="G7" t="str">
        <f>VLOOKUP(C7,'Ingredient Confirm'!$B$1:$F$406,2,FALSE)</f>
        <v>bottle</v>
      </c>
    </row>
    <row r="8" spans="2:7" x14ac:dyDescent="0.25">
      <c r="B8">
        <f t="shared" ca="1" si="0"/>
        <v>44</v>
      </c>
      <c r="C8" t="str">
        <f>randomselection('Ingredient Confirm'!$B$2:$B$406)</f>
        <v>corn</v>
      </c>
      <c r="D8">
        <f t="shared" ca="1" si="1"/>
        <v>1</v>
      </c>
      <c r="E8">
        <f ca="1">VLOOKUP(B8,Dish!$A$1:$C$91,3,FALSE)</f>
        <v>2</v>
      </c>
      <c r="F8" t="e">
        <f>VLOOKUP(C8,'Ingredient Confirm'!$B$1:$F$406,6,FALSE)</f>
        <v>#REF!</v>
      </c>
      <c r="G8" t="str">
        <f>VLOOKUP(C8,'Ingredient Confirm'!$B$1:$F$406,2,FALSE)</f>
        <v>can</v>
      </c>
    </row>
    <row r="9" spans="2:7" x14ac:dyDescent="0.25">
      <c r="B9">
        <f t="shared" ca="1" si="0"/>
        <v>64</v>
      </c>
      <c r="C9" t="str">
        <f>randomselection('Ingredient Confirm'!$B$2:$B$406)</f>
        <v>spearmint</v>
      </c>
      <c r="D9">
        <f t="shared" ca="1" si="1"/>
        <v>1</v>
      </c>
      <c r="E9">
        <f ca="1">VLOOKUP(B9,Dish!$A$1:$C$91,3,FALSE)</f>
        <v>14</v>
      </c>
      <c r="F9" t="e">
        <f>VLOOKUP(C9,'Ingredient Confirm'!$B$1:$F$406,6,FALSE)</f>
        <v>#REF!</v>
      </c>
      <c r="G9" t="str">
        <f>VLOOKUP(C9,'Ingredient Confirm'!$B$1:$F$406,2,FALSE)</f>
        <v>package</v>
      </c>
    </row>
    <row r="10" spans="2:7" x14ac:dyDescent="0.25">
      <c r="B10">
        <f t="shared" ca="1" si="0"/>
        <v>61</v>
      </c>
      <c r="C10" t="str">
        <f>randomselection('Ingredient Confirm'!$B$2:$B$406)</f>
        <v>bay leaves</v>
      </c>
      <c r="D10">
        <f t="shared" ca="1" si="1"/>
        <v>1</v>
      </c>
      <c r="E10">
        <f ca="1">VLOOKUP(B10,Dish!$A$1:$C$91,3,FALSE)</f>
        <v>2</v>
      </c>
      <c r="F10" t="e">
        <f>VLOOKUP(C10,'Ingredient Confirm'!$B$1:$F$406,6,FALSE)</f>
        <v>#REF!</v>
      </c>
      <c r="G10" t="str">
        <f>VLOOKUP(C10,'Ingredient Confirm'!$B$1:$F$406,2,FALSE)</f>
        <v>can</v>
      </c>
    </row>
    <row r="11" spans="2:7" x14ac:dyDescent="0.25">
      <c r="B11">
        <f t="shared" ca="1" si="0"/>
        <v>61</v>
      </c>
      <c r="C11" t="str">
        <f>randomselection('Ingredient Confirm'!$B$2:$B$406)</f>
        <v>canola oil</v>
      </c>
      <c r="D11">
        <f t="shared" ca="1" si="1"/>
        <v>2</v>
      </c>
      <c r="E11">
        <f ca="1">VLOOKUP(B11,Dish!$A$1:$C$91,3,FALSE)</f>
        <v>2</v>
      </c>
      <c r="F11" t="e">
        <f>VLOOKUP(C11,'Ingredient Confirm'!$B$1:$F$406,6,FALSE)</f>
        <v>#REF!</v>
      </c>
      <c r="G11" t="str">
        <f>VLOOKUP(C11,'Ingredient Confirm'!$B$1:$F$406,2,FALSE)</f>
        <v>can</v>
      </c>
    </row>
    <row r="12" spans="2:7" x14ac:dyDescent="0.25">
      <c r="B12">
        <f t="shared" ca="1" si="0"/>
        <v>84</v>
      </c>
      <c r="C12" t="str">
        <f>randomselection('Ingredient Confirm'!$B$2:$B$406)</f>
        <v>pea beans</v>
      </c>
      <c r="D12">
        <f t="shared" ca="1" si="1"/>
        <v>1</v>
      </c>
      <c r="E12">
        <f ca="1">VLOOKUP(B12,Dish!$A$1:$C$91,3,FALSE)</f>
        <v>14</v>
      </c>
      <c r="F12" t="e">
        <f>VLOOKUP(C12,'Ingredient Confirm'!$B$1:$F$406,6,FALSE)</f>
        <v>#REF!</v>
      </c>
      <c r="G12" t="str">
        <f>VLOOKUP(C12,'Ingredient Confirm'!$B$1:$F$406,2,FALSE)</f>
        <v>can</v>
      </c>
    </row>
    <row r="13" spans="2:7" x14ac:dyDescent="0.25">
      <c r="B13">
        <f t="shared" ca="1" si="0"/>
        <v>76</v>
      </c>
      <c r="C13" t="str">
        <f>randomselection('Ingredient Confirm'!$B$2:$B$406)</f>
        <v>tomato puree</v>
      </c>
      <c r="D13">
        <f t="shared" ca="1" si="1"/>
        <v>1</v>
      </c>
      <c r="E13">
        <f ca="1">VLOOKUP(B13,Dish!$A$1:$C$91,3,FALSE)</f>
        <v>12</v>
      </c>
      <c r="F13" t="e">
        <f>VLOOKUP(C13,'Ingredient Confirm'!$B$1:$F$406,6,FALSE)</f>
        <v>#REF!</v>
      </c>
      <c r="G13" t="str">
        <f>VLOOKUP(C13,'Ingredient Confirm'!$B$1:$F$406,2,FALSE)</f>
        <v>can</v>
      </c>
    </row>
    <row r="14" spans="2:7" x14ac:dyDescent="0.25">
      <c r="B14">
        <f t="shared" ca="1" si="0"/>
        <v>31</v>
      </c>
      <c r="C14" t="str">
        <f>randomselection('Ingredient Confirm'!$B$2:$B$406)</f>
        <v>spaghetti squash</v>
      </c>
      <c r="D14">
        <f t="shared" ca="1" si="1"/>
        <v>1</v>
      </c>
      <c r="E14">
        <f ca="1">VLOOKUP(B14,Dish!$A$1:$C$91,3,FALSE)</f>
        <v>6</v>
      </c>
      <c r="F14" t="e">
        <f>VLOOKUP(C14,'Ingredient Confirm'!$B$1:$F$406,6,FALSE)</f>
        <v>#REF!</v>
      </c>
      <c r="G14" t="str">
        <f>VLOOKUP(C14,'Ingredient Confirm'!$B$1:$F$406,2,FALSE)</f>
        <v>package</v>
      </c>
    </row>
    <row r="15" spans="2:7" x14ac:dyDescent="0.25">
      <c r="B15">
        <f t="shared" ca="1" si="0"/>
        <v>65</v>
      </c>
      <c r="C15" t="str">
        <f>randomselection('Ingredient Confirm'!$B$2:$B$406)</f>
        <v>broccoli</v>
      </c>
      <c r="D15">
        <f t="shared" ca="1" si="1"/>
        <v>1</v>
      </c>
      <c r="E15">
        <f ca="1">VLOOKUP(B15,Dish!$A$1:$C$91,3,FALSE)</f>
        <v>2</v>
      </c>
      <c r="F15" t="e">
        <f>VLOOKUP(C15,'Ingredient Confirm'!$B$1:$F$406,6,FALSE)</f>
        <v>#REF!</v>
      </c>
      <c r="G15" t="str">
        <f>VLOOKUP(C15,'Ingredient Confirm'!$B$1:$F$406,2,FALSE)</f>
        <v>package</v>
      </c>
    </row>
    <row r="16" spans="2:7" x14ac:dyDescent="0.25">
      <c r="B16">
        <f t="shared" ca="1" si="0"/>
        <v>67</v>
      </c>
      <c r="C16" t="str">
        <f>randomselection('Ingredient Confirm'!$B$2:$B$406)</f>
        <v>fennel</v>
      </c>
      <c r="D16">
        <f t="shared" ca="1" si="1"/>
        <v>2</v>
      </c>
      <c r="E16">
        <f ca="1">VLOOKUP(B16,Dish!$A$1:$C$91,3,FALSE)</f>
        <v>4</v>
      </c>
      <c r="F16" t="e">
        <f>VLOOKUP(C16,'Ingredient Confirm'!$B$1:$F$406,6,FALSE)</f>
        <v>#REF!</v>
      </c>
      <c r="G16" t="str">
        <f>VLOOKUP(C16,'Ingredient Confirm'!$B$1:$F$406,2,FALSE)</f>
        <v>can</v>
      </c>
    </row>
    <row r="17" spans="2:7" x14ac:dyDescent="0.25">
      <c r="B17">
        <f t="shared" ca="1" si="0"/>
        <v>49</v>
      </c>
      <c r="C17" t="str">
        <f>randomselection('Ingredient Confirm'!$B$2:$B$406)</f>
        <v>hot sauce</v>
      </c>
      <c r="D17">
        <f t="shared" ca="1" si="1"/>
        <v>2</v>
      </c>
      <c r="E17">
        <f ca="1">VLOOKUP(B17,Dish!$A$1:$C$91,3,FALSE)</f>
        <v>11</v>
      </c>
      <c r="F17" t="e">
        <f>VLOOKUP(C17,'Ingredient Confirm'!$B$1:$F$406,6,FALSE)</f>
        <v>#REF!</v>
      </c>
      <c r="G17" t="str">
        <f>VLOOKUP(C17,'Ingredient Confirm'!$B$1:$F$406,2,FALSE)</f>
        <v>can</v>
      </c>
    </row>
    <row r="18" spans="2:7" x14ac:dyDescent="0.25">
      <c r="B18">
        <f t="shared" ca="1" si="0"/>
        <v>80</v>
      </c>
      <c r="C18" t="str">
        <f>randomselection('Ingredient Confirm'!$B$2:$B$406)</f>
        <v>pumpkin seeds</v>
      </c>
      <c r="D18">
        <f t="shared" ca="1" si="1"/>
        <v>2</v>
      </c>
      <c r="E18">
        <f ca="1">VLOOKUP(B18,Dish!$A$1:$C$91,3,FALSE)</f>
        <v>7</v>
      </c>
      <c r="F18" t="e">
        <f>VLOOKUP(C18,'Ingredient Confirm'!$B$1:$F$406,6,FALSE)</f>
        <v>#REF!</v>
      </c>
      <c r="G18" t="str">
        <f>VLOOKUP(C18,'Ingredient Confirm'!$B$1:$F$406,2,FALSE)</f>
        <v>package</v>
      </c>
    </row>
    <row r="19" spans="2:7" x14ac:dyDescent="0.25">
      <c r="B19">
        <f t="shared" ca="1" si="0"/>
        <v>24</v>
      </c>
      <c r="C19" t="str">
        <f>randomselection('Ingredient Confirm'!$B$2:$B$406)</f>
        <v>lobsters</v>
      </c>
      <c r="D19">
        <f t="shared" ca="1" si="1"/>
        <v>2</v>
      </c>
      <c r="E19">
        <f ca="1">VLOOKUP(B19,Dish!$A$1:$C$91,3,FALSE)</f>
        <v>10</v>
      </c>
      <c r="F19" t="e">
        <f>VLOOKUP(C19,'Ingredient Confirm'!$B$1:$F$406,6,FALSE)</f>
        <v>#REF!</v>
      </c>
      <c r="G19" t="str">
        <f>VLOOKUP(C19,'Ingredient Confirm'!$B$1:$F$406,2,FALSE)</f>
        <v>piece</v>
      </c>
    </row>
    <row r="20" spans="2:7" x14ac:dyDescent="0.25">
      <c r="B20">
        <f t="shared" ca="1" si="0"/>
        <v>13</v>
      </c>
      <c r="C20" t="str">
        <f>randomselection('Ingredient Confirm'!$B$2:$B$406)</f>
        <v>flax seed</v>
      </c>
      <c r="D20">
        <f t="shared" ca="1" si="1"/>
        <v>2</v>
      </c>
      <c r="E20">
        <f ca="1">VLOOKUP(B20,Dish!$A$1:$C$91,3,FALSE)</f>
        <v>4</v>
      </c>
      <c r="F20" t="e">
        <f>VLOOKUP(C20,'Ingredient Confirm'!$B$1:$F$406,6,FALSE)</f>
        <v>#REF!</v>
      </c>
      <c r="G20" t="str">
        <f>VLOOKUP(C20,'Ingredient Confirm'!$B$1:$F$406,2,FALSE)</f>
        <v>can</v>
      </c>
    </row>
    <row r="21" spans="2:7" x14ac:dyDescent="0.25">
      <c r="B21">
        <f t="shared" ca="1" si="0"/>
        <v>65</v>
      </c>
      <c r="C21" t="str">
        <f>randomselection('Ingredient Confirm'!$B$2:$B$406)</f>
        <v>ale</v>
      </c>
      <c r="D21">
        <f t="shared" ca="1" si="1"/>
        <v>1</v>
      </c>
      <c r="E21">
        <f ca="1">VLOOKUP(B21,Dish!$A$1:$C$91,3,FALSE)</f>
        <v>2</v>
      </c>
      <c r="F21" t="e">
        <f>VLOOKUP(C21,'Ingredient Confirm'!$B$1:$F$406,6,FALSE)</f>
        <v>#REF!</v>
      </c>
      <c r="G21" t="str">
        <f>VLOOKUP(C21,'Ingredient Confirm'!$B$1:$F$406,2,FALSE)</f>
        <v>package</v>
      </c>
    </row>
    <row r="22" spans="2:7" x14ac:dyDescent="0.25">
      <c r="B22">
        <f t="shared" ca="1" si="0"/>
        <v>18</v>
      </c>
      <c r="C22" t="str">
        <f>randomselection('Ingredient Confirm'!$B$2:$B$406)</f>
        <v>hamburger</v>
      </c>
      <c r="D22">
        <f t="shared" ca="1" si="1"/>
        <v>1</v>
      </c>
      <c r="E22">
        <f ca="1">VLOOKUP(B22,Dish!$A$1:$C$91,3,FALSE)</f>
        <v>12</v>
      </c>
      <c r="F22" t="e">
        <f>VLOOKUP(C22,'Ingredient Confirm'!$B$1:$F$406,6,FALSE)</f>
        <v>#REF!</v>
      </c>
      <c r="G22" t="str">
        <f>VLOOKUP(C22,'Ingredient Confirm'!$B$1:$F$406,2,FALSE)</f>
        <v>piece</v>
      </c>
    </row>
    <row r="23" spans="2:7" x14ac:dyDescent="0.25">
      <c r="B23">
        <f t="shared" ca="1" si="0"/>
        <v>40</v>
      </c>
      <c r="C23" t="str">
        <f>randomselection('Ingredient Confirm'!$B$2:$B$406)</f>
        <v>pasta</v>
      </c>
      <c r="D23">
        <f t="shared" ca="1" si="1"/>
        <v>2</v>
      </c>
      <c r="E23">
        <f ca="1">VLOOKUP(B23,Dish!$A$1:$C$91,3,FALSE)</f>
        <v>9</v>
      </c>
      <c r="F23" t="e">
        <f>VLOOKUP(C23,'Ingredient Confirm'!$B$1:$F$406,6,FALSE)</f>
        <v>#REF!</v>
      </c>
      <c r="G23" t="str">
        <f>VLOOKUP(C23,'Ingredient Confirm'!$B$1:$F$406,2,FALSE)</f>
        <v>can</v>
      </c>
    </row>
    <row r="24" spans="2:7" x14ac:dyDescent="0.25">
      <c r="B24">
        <f t="shared" ca="1" si="0"/>
        <v>52</v>
      </c>
      <c r="C24" t="str">
        <f>randomselection('Ingredient Confirm'!$B$2:$B$406)</f>
        <v>acorn squash</v>
      </c>
      <c r="D24">
        <f t="shared" ca="1" si="1"/>
        <v>1</v>
      </c>
      <c r="E24">
        <f ca="1">VLOOKUP(B24,Dish!$A$1:$C$91,3,FALSE)</f>
        <v>8</v>
      </c>
      <c r="F24" t="e">
        <f>VLOOKUP(C24,'Ingredient Confirm'!$B$1:$F$406,6,FALSE)</f>
        <v>#REF!</v>
      </c>
      <c r="G24" t="str">
        <f>VLOOKUP(C24,'Ingredient Confirm'!$B$1:$F$406,2,FALSE)</f>
        <v>package</v>
      </c>
    </row>
    <row r="25" spans="2:7" x14ac:dyDescent="0.25">
      <c r="B25">
        <f t="shared" ca="1" si="0"/>
        <v>38</v>
      </c>
      <c r="C25" t="str">
        <f>randomselection('Ingredient Confirm'!$B$2:$B$406)</f>
        <v>mackerel</v>
      </c>
      <c r="D25">
        <f t="shared" ca="1" si="1"/>
        <v>1</v>
      </c>
      <c r="E25">
        <f ca="1">VLOOKUP(B25,Dish!$A$1:$C$91,3,FALSE)</f>
        <v>3</v>
      </c>
      <c r="F25" t="e">
        <f>VLOOKUP(C25,'Ingredient Confirm'!$B$1:$F$406,6,FALSE)</f>
        <v>#REF!</v>
      </c>
      <c r="G25" t="str">
        <f>VLOOKUP(C25,'Ingredient Confirm'!$B$1:$F$406,2,FALSE)</f>
        <v>piece</v>
      </c>
    </row>
    <row r="26" spans="2:7" x14ac:dyDescent="0.25">
      <c r="B26">
        <f t="shared" ca="1" si="0"/>
        <v>90</v>
      </c>
      <c r="C26" t="str">
        <f>randomselection('Ingredient Confirm'!$B$2:$B$406)</f>
        <v>cabbage</v>
      </c>
      <c r="D26">
        <f t="shared" ca="1" si="1"/>
        <v>1</v>
      </c>
      <c r="E26">
        <f ca="1">VLOOKUP(B26,Dish!$A$1:$C$91,3,FALSE)</f>
        <v>3</v>
      </c>
      <c r="F26" t="e">
        <f>VLOOKUP(C26,'Ingredient Confirm'!$B$1:$F$406,6,FALSE)</f>
        <v>#REF!</v>
      </c>
      <c r="G26" t="str">
        <f>VLOOKUP(C26,'Ingredient Confirm'!$B$1:$F$406,2,FALSE)</f>
        <v>piece</v>
      </c>
    </row>
    <row r="27" spans="2:7" x14ac:dyDescent="0.25">
      <c r="B27">
        <f t="shared" ca="1" si="0"/>
        <v>34</v>
      </c>
      <c r="C27" t="str">
        <f>randomselection('Ingredient Confirm'!$B$2:$B$406)</f>
        <v>mackerel</v>
      </c>
      <c r="D27">
        <f t="shared" ca="1" si="1"/>
        <v>2</v>
      </c>
      <c r="E27">
        <f ca="1">VLOOKUP(B27,Dish!$A$1:$C$91,3,FALSE)</f>
        <v>12</v>
      </c>
      <c r="F27" t="e">
        <f>VLOOKUP(C27,'Ingredient Confirm'!$B$1:$F$406,6,FALSE)</f>
        <v>#REF!</v>
      </c>
      <c r="G27" t="str">
        <f>VLOOKUP(C27,'Ingredient Confirm'!$B$1:$F$406,2,FALSE)</f>
        <v>piece</v>
      </c>
    </row>
    <row r="28" spans="2:7" x14ac:dyDescent="0.25">
      <c r="B28">
        <f t="shared" ca="1" si="0"/>
        <v>46</v>
      </c>
      <c r="C28" t="str">
        <f>randomselection('Ingredient Confirm'!$B$2:$B$406)</f>
        <v>half-and-half</v>
      </c>
      <c r="D28">
        <f t="shared" ca="1" si="1"/>
        <v>2</v>
      </c>
      <c r="E28">
        <f ca="1">VLOOKUP(B28,Dish!$A$1:$C$91,3,FALSE)</f>
        <v>2</v>
      </c>
      <c r="F28" t="e">
        <f>VLOOKUP(C28,'Ingredient Confirm'!$B$1:$F$406,6,FALSE)</f>
        <v>#REF!</v>
      </c>
      <c r="G28" t="str">
        <f>VLOOKUP(C28,'Ingredient Confirm'!$B$1:$F$406,2,FALSE)</f>
        <v>package</v>
      </c>
    </row>
    <row r="29" spans="2:7" x14ac:dyDescent="0.25">
      <c r="B29">
        <f t="shared" ca="1" si="0"/>
        <v>55</v>
      </c>
      <c r="C29" t="str">
        <f>randomselection('Ingredient Confirm'!$B$2:$B$406)</f>
        <v>bay leaves</v>
      </c>
      <c r="D29">
        <f t="shared" ca="1" si="1"/>
        <v>1</v>
      </c>
      <c r="E29">
        <f ca="1">VLOOKUP(B29,Dish!$A$1:$C$91,3,FALSE)</f>
        <v>5</v>
      </c>
      <c r="F29" t="e">
        <f>VLOOKUP(C29,'Ingredient Confirm'!$B$1:$F$406,6,FALSE)</f>
        <v>#REF!</v>
      </c>
      <c r="G29" t="str">
        <f>VLOOKUP(C29,'Ingredient Confirm'!$B$1:$F$406,2,FALSE)</f>
        <v>can</v>
      </c>
    </row>
    <row r="30" spans="2:7" x14ac:dyDescent="0.25">
      <c r="B30">
        <f t="shared" ca="1" si="0"/>
        <v>9</v>
      </c>
      <c r="C30" t="str">
        <f>randomselection('Ingredient Confirm'!$B$2:$B$406)</f>
        <v>steak</v>
      </c>
      <c r="D30">
        <f t="shared" ca="1" si="1"/>
        <v>1</v>
      </c>
      <c r="E30">
        <f ca="1">VLOOKUP(B30,Dish!$A$1:$C$91,3,FALSE)</f>
        <v>7</v>
      </c>
      <c r="F30" t="e">
        <f>VLOOKUP(C30,'Ingredient Confirm'!$B$1:$F$406,6,FALSE)</f>
        <v>#REF!</v>
      </c>
      <c r="G30" t="str">
        <f>VLOOKUP(C30,'Ingredient Confirm'!$B$1:$F$406,2,FALSE)</f>
        <v>piece</v>
      </c>
    </row>
    <row r="31" spans="2:7" x14ac:dyDescent="0.25">
      <c r="B31">
        <f t="shared" ca="1" si="0"/>
        <v>73</v>
      </c>
      <c r="C31" t="str">
        <f>randomselection('Ingredient Confirm'!$B$2:$B$406)</f>
        <v>pumpkin seeds</v>
      </c>
      <c r="D31">
        <f t="shared" ca="1" si="1"/>
        <v>2</v>
      </c>
      <c r="E31">
        <f ca="1">VLOOKUP(B31,Dish!$A$1:$C$91,3,FALSE)</f>
        <v>3</v>
      </c>
      <c r="F31" t="e">
        <f>VLOOKUP(C31,'Ingredient Confirm'!$B$1:$F$406,6,FALSE)</f>
        <v>#REF!</v>
      </c>
      <c r="G31" t="str">
        <f>VLOOKUP(C31,'Ingredient Confirm'!$B$1:$F$406,2,FALSE)</f>
        <v>package</v>
      </c>
    </row>
    <row r="32" spans="2:7" x14ac:dyDescent="0.25">
      <c r="B32">
        <f t="shared" ca="1" si="0"/>
        <v>38</v>
      </c>
      <c r="C32" t="str">
        <f>randomselection('Ingredient Confirm'!$B$2:$B$406)</f>
        <v>cream of tartar</v>
      </c>
      <c r="D32">
        <f t="shared" ca="1" si="1"/>
        <v>1</v>
      </c>
      <c r="E32">
        <f ca="1">VLOOKUP(B32,Dish!$A$1:$C$91,3,FALSE)</f>
        <v>3</v>
      </c>
      <c r="F32" t="e">
        <f>VLOOKUP(C32,'Ingredient Confirm'!$B$1:$F$406,6,FALSE)</f>
        <v>#REF!</v>
      </c>
      <c r="G32" t="str">
        <f>VLOOKUP(C32,'Ingredient Confirm'!$B$1:$F$406,2,FALSE)</f>
        <v>can</v>
      </c>
    </row>
    <row r="33" spans="2:7" x14ac:dyDescent="0.25">
      <c r="B33">
        <f t="shared" ca="1" si="0"/>
        <v>46</v>
      </c>
      <c r="C33" t="str">
        <f>randomselection('Ingredient Confirm'!$B$2:$B$406)</f>
        <v>eggplants</v>
      </c>
      <c r="D33">
        <f t="shared" ca="1" si="1"/>
        <v>1</v>
      </c>
      <c r="E33">
        <f ca="1">VLOOKUP(B33,Dish!$A$1:$C$91,3,FALSE)</f>
        <v>2</v>
      </c>
      <c r="F33" t="e">
        <f>VLOOKUP(C33,'Ingredient Confirm'!$B$1:$F$406,6,FALSE)</f>
        <v>#REF!</v>
      </c>
      <c r="G33" t="str">
        <f>VLOOKUP(C33,'Ingredient Confirm'!$B$1:$F$406,2,FALSE)</f>
        <v>can</v>
      </c>
    </row>
    <row r="34" spans="2:7" x14ac:dyDescent="0.25">
      <c r="B34">
        <f t="shared" ca="1" si="0"/>
        <v>68</v>
      </c>
      <c r="C34" t="str">
        <f>randomselection('Ingredient Confirm'!$B$2:$B$406)</f>
        <v>rose water</v>
      </c>
      <c r="D34">
        <f t="shared" ca="1" si="1"/>
        <v>2</v>
      </c>
      <c r="E34">
        <f ca="1">VLOOKUP(B34,Dish!$A$1:$C$91,3,FALSE)</f>
        <v>2</v>
      </c>
      <c r="F34" t="e">
        <f>VLOOKUP(C34,'Ingredient Confirm'!$B$1:$F$406,6,FALSE)</f>
        <v>#REF!</v>
      </c>
      <c r="G34" t="str">
        <f>VLOOKUP(C34,'Ingredient Confirm'!$B$1:$F$406,2,FALSE)</f>
        <v>bottle</v>
      </c>
    </row>
    <row r="35" spans="2:7" x14ac:dyDescent="0.25">
      <c r="B35">
        <f t="shared" ca="1" si="0"/>
        <v>11</v>
      </c>
      <c r="C35" t="str">
        <f>randomselection('Ingredient Confirm'!$B$2:$B$406)</f>
        <v>gelatin</v>
      </c>
      <c r="D35">
        <f t="shared" ca="1" si="1"/>
        <v>1</v>
      </c>
      <c r="E35">
        <f ca="1">VLOOKUP(B35,Dish!$A$1:$C$91,3,FALSE)</f>
        <v>10</v>
      </c>
      <c r="F35" t="e">
        <f>VLOOKUP(C35,'Ingredient Confirm'!$B$1:$F$406,6,FALSE)</f>
        <v>#REF!</v>
      </c>
      <c r="G35" t="str">
        <f>VLOOKUP(C35,'Ingredient Confirm'!$B$1:$F$406,2,FALSE)</f>
        <v>can</v>
      </c>
    </row>
    <row r="36" spans="2:7" x14ac:dyDescent="0.25">
      <c r="B36">
        <f t="shared" ca="1" si="0"/>
        <v>28</v>
      </c>
      <c r="C36" t="str">
        <f>randomselection('Ingredient Confirm'!$B$2:$B$406)</f>
        <v>ricotta cheese</v>
      </c>
      <c r="D36">
        <f t="shared" ca="1" si="1"/>
        <v>1</v>
      </c>
      <c r="E36">
        <f ca="1">VLOOKUP(B36,Dish!$A$1:$C$91,3,FALSE)</f>
        <v>10</v>
      </c>
      <c r="F36" t="e">
        <f>VLOOKUP(C36,'Ingredient Confirm'!$B$1:$F$406,6,FALSE)</f>
        <v>#REF!</v>
      </c>
      <c r="G36" t="str">
        <f>VLOOKUP(C36,'Ingredient Confirm'!$B$1:$F$406,2,FALSE)</f>
        <v>package</v>
      </c>
    </row>
    <row r="37" spans="2:7" x14ac:dyDescent="0.25">
      <c r="B37">
        <f t="shared" ca="1" si="0"/>
        <v>78</v>
      </c>
      <c r="C37" t="str">
        <f>randomselection('Ingredient Confirm'!$B$2:$B$406)</f>
        <v>leeks</v>
      </c>
      <c r="D37">
        <f t="shared" ca="1" si="1"/>
        <v>1</v>
      </c>
      <c r="E37">
        <f ca="1">VLOOKUP(B37,Dish!$A$1:$C$91,3,FALSE)</f>
        <v>3</v>
      </c>
      <c r="F37" t="e">
        <f>VLOOKUP(C37,'Ingredient Confirm'!$B$1:$F$406,6,FALSE)</f>
        <v>#REF!</v>
      </c>
      <c r="G37" t="str">
        <f>VLOOKUP(C37,'Ingredient Confirm'!$B$1:$F$406,2,FALSE)</f>
        <v>package</v>
      </c>
    </row>
    <row r="38" spans="2:7" x14ac:dyDescent="0.25">
      <c r="B38">
        <f t="shared" ca="1" si="0"/>
        <v>29</v>
      </c>
      <c r="C38" t="str">
        <f>randomselection('Ingredient Confirm'!$B$2:$B$406)</f>
        <v>plantains</v>
      </c>
      <c r="D38">
        <f t="shared" ca="1" si="1"/>
        <v>2</v>
      </c>
      <c r="E38">
        <f ca="1">VLOOKUP(B38,Dish!$A$1:$C$91,3,FALSE)</f>
        <v>9</v>
      </c>
      <c r="F38" t="e">
        <f>VLOOKUP(C38,'Ingredient Confirm'!$B$1:$F$406,6,FALSE)</f>
        <v>#REF!</v>
      </c>
      <c r="G38" t="str">
        <f>VLOOKUP(C38,'Ingredient Confirm'!$B$1:$F$406,2,FALSE)</f>
        <v>can</v>
      </c>
    </row>
    <row r="39" spans="2:7" x14ac:dyDescent="0.25">
      <c r="B39">
        <f t="shared" ca="1" si="0"/>
        <v>9</v>
      </c>
      <c r="C39" t="str">
        <f>randomselection('Ingredient Confirm'!$B$2:$B$406)</f>
        <v>bean threads</v>
      </c>
      <c r="D39">
        <f t="shared" ca="1" si="1"/>
        <v>1</v>
      </c>
      <c r="E39">
        <f ca="1">VLOOKUP(B39,Dish!$A$1:$C$91,3,FALSE)</f>
        <v>7</v>
      </c>
      <c r="F39" t="e">
        <f>VLOOKUP(C39,'Ingredient Confirm'!$B$1:$F$406,6,FALSE)</f>
        <v>#REF!</v>
      </c>
      <c r="G39" t="str">
        <f>VLOOKUP(C39,'Ingredient Confirm'!$B$1:$F$406,2,FALSE)</f>
        <v>can</v>
      </c>
    </row>
    <row r="40" spans="2:7" x14ac:dyDescent="0.25">
      <c r="B40">
        <f t="shared" ca="1" si="0"/>
        <v>49</v>
      </c>
      <c r="C40" t="str">
        <f>randomselection('Ingredient Confirm'!$B$2:$B$406)</f>
        <v>chard</v>
      </c>
      <c r="D40">
        <f t="shared" ca="1" si="1"/>
        <v>1</v>
      </c>
      <c r="E40">
        <f ca="1">VLOOKUP(B40,Dish!$A$1:$C$91,3,FALSE)</f>
        <v>11</v>
      </c>
      <c r="F40" t="e">
        <f>VLOOKUP(C40,'Ingredient Confirm'!$B$1:$F$406,6,FALSE)</f>
        <v>#REF!</v>
      </c>
      <c r="G40" t="str">
        <f>VLOOKUP(C40,'Ingredient Confirm'!$B$1:$F$406,2,FALSE)</f>
        <v>can</v>
      </c>
    </row>
    <row r="41" spans="2:7" x14ac:dyDescent="0.25">
      <c r="B41">
        <f t="shared" ca="1" si="0"/>
        <v>93</v>
      </c>
      <c r="C41" t="str">
        <f>randomselection('Ingredient Confirm'!$B$2:$B$406)</f>
        <v>leeks</v>
      </c>
      <c r="D41">
        <f t="shared" ca="1" si="1"/>
        <v>1</v>
      </c>
      <c r="E41">
        <f ca="1">VLOOKUP(B41,Dish!$A$1:$C$91,3,FALSE)</f>
        <v>7</v>
      </c>
      <c r="F41" t="e">
        <f>VLOOKUP(C41,'Ingredient Confirm'!$B$1:$F$406,6,FALSE)</f>
        <v>#REF!</v>
      </c>
      <c r="G41" t="str">
        <f>VLOOKUP(C41,'Ingredient Confirm'!$B$1:$F$406,2,FALSE)</f>
        <v>package</v>
      </c>
    </row>
    <row r="42" spans="2:7" x14ac:dyDescent="0.25">
      <c r="B42">
        <f t="shared" ca="1" si="0"/>
        <v>57</v>
      </c>
      <c r="C42" t="str">
        <f>randomselection('Ingredient Confirm'!$B$2:$B$406)</f>
        <v>hot sauce</v>
      </c>
      <c r="D42">
        <f t="shared" ca="1" si="1"/>
        <v>2</v>
      </c>
      <c r="E42">
        <f ca="1">VLOOKUP(B42,Dish!$A$1:$C$91,3,FALSE)</f>
        <v>8</v>
      </c>
      <c r="F42" t="e">
        <f>VLOOKUP(C42,'Ingredient Confirm'!$B$1:$F$406,6,FALSE)</f>
        <v>#REF!</v>
      </c>
      <c r="G42" t="str">
        <f>VLOOKUP(C42,'Ingredient Confirm'!$B$1:$F$406,2,FALSE)</f>
        <v>can</v>
      </c>
    </row>
    <row r="43" spans="2:7" x14ac:dyDescent="0.25">
      <c r="B43">
        <f t="shared" ca="1" si="0"/>
        <v>76</v>
      </c>
      <c r="C43" t="str">
        <f>randomselection('Ingredient Confirm'!$B$2:$B$406)</f>
        <v>feta cheese</v>
      </c>
      <c r="D43">
        <f t="shared" ca="1" si="1"/>
        <v>1</v>
      </c>
      <c r="E43">
        <f ca="1">VLOOKUP(B43,Dish!$A$1:$C$91,3,FALSE)</f>
        <v>12</v>
      </c>
      <c r="F43" t="e">
        <f>VLOOKUP(C43,'Ingredient Confirm'!$B$1:$F$406,6,FALSE)</f>
        <v>#REF!</v>
      </c>
      <c r="G43" t="str">
        <f>VLOOKUP(C43,'Ingredient Confirm'!$B$1:$F$406,2,FALSE)</f>
        <v>package</v>
      </c>
    </row>
    <row r="44" spans="2:7" x14ac:dyDescent="0.25">
      <c r="B44">
        <f t="shared" ca="1" si="0"/>
        <v>10</v>
      </c>
      <c r="C44" t="str">
        <f>randomselection('Ingredient Confirm'!$B$2:$B$406)</f>
        <v>corn</v>
      </c>
      <c r="D44">
        <f t="shared" ca="1" si="1"/>
        <v>1</v>
      </c>
      <c r="E44">
        <f ca="1">VLOOKUP(B44,Dish!$A$1:$C$91,3,FALSE)</f>
        <v>8</v>
      </c>
      <c r="F44" t="e">
        <f>VLOOKUP(C44,'Ingredient Confirm'!$B$1:$F$406,6,FALSE)</f>
        <v>#REF!</v>
      </c>
      <c r="G44" t="str">
        <f>VLOOKUP(C44,'Ingredient Confirm'!$B$1:$F$406,2,FALSE)</f>
        <v>can</v>
      </c>
    </row>
    <row r="45" spans="2:7" x14ac:dyDescent="0.25">
      <c r="B45">
        <f t="shared" ca="1" si="0"/>
        <v>72</v>
      </c>
      <c r="C45" t="str">
        <f>randomselection('Ingredient Confirm'!$B$2:$B$406)</f>
        <v>sauerkraut</v>
      </c>
      <c r="D45">
        <f t="shared" ca="1" si="1"/>
        <v>2</v>
      </c>
      <c r="E45">
        <f ca="1">VLOOKUP(B45,Dish!$A$1:$C$91,3,FALSE)</f>
        <v>3</v>
      </c>
      <c r="F45" t="e">
        <f>VLOOKUP(C45,'Ingredient Confirm'!$B$1:$F$406,6,FALSE)</f>
        <v>#REF!</v>
      </c>
      <c r="G45" t="str">
        <f>VLOOKUP(C45,'Ingredient Confirm'!$B$1:$F$406,2,FALSE)</f>
        <v>can</v>
      </c>
    </row>
    <row r="46" spans="2:7" x14ac:dyDescent="0.25">
      <c r="B46">
        <f t="shared" ca="1" si="0"/>
        <v>32</v>
      </c>
      <c r="C46" t="str">
        <f>randomselection('Ingredient Confirm'!$B$2:$B$406)</f>
        <v>steak</v>
      </c>
      <c r="D46">
        <f t="shared" ca="1" si="1"/>
        <v>1</v>
      </c>
      <c r="E46">
        <f ca="1">VLOOKUP(B46,Dish!$A$1:$C$91,3,FALSE)</f>
        <v>14</v>
      </c>
      <c r="F46" t="e">
        <f>VLOOKUP(C46,'Ingredient Confirm'!$B$1:$F$406,6,FALSE)</f>
        <v>#REF!</v>
      </c>
      <c r="G46" t="str">
        <f>VLOOKUP(C46,'Ingredient Confirm'!$B$1:$F$406,2,FALSE)</f>
        <v>piece</v>
      </c>
    </row>
    <row r="47" spans="2:7" x14ac:dyDescent="0.25">
      <c r="B47">
        <f t="shared" ca="1" si="0"/>
        <v>38</v>
      </c>
      <c r="C47" t="str">
        <f>randomselection('Ingredient Confirm'!$B$2:$B$406)</f>
        <v>buckwheat</v>
      </c>
      <c r="D47">
        <f t="shared" ca="1" si="1"/>
        <v>2</v>
      </c>
      <c r="E47">
        <f ca="1">VLOOKUP(B47,Dish!$A$1:$C$91,3,FALSE)</f>
        <v>3</v>
      </c>
      <c r="F47" t="e">
        <f>VLOOKUP(C47,'Ingredient Confirm'!$B$1:$F$406,6,FALSE)</f>
        <v>#REF!</v>
      </c>
      <c r="G47" t="str">
        <f>VLOOKUP(C47,'Ingredient Confirm'!$B$1:$F$406,2,FALSE)</f>
        <v>package</v>
      </c>
    </row>
    <row r="48" spans="2:7" x14ac:dyDescent="0.25">
      <c r="B48">
        <f t="shared" ca="1" si="0"/>
        <v>29</v>
      </c>
      <c r="C48" t="str">
        <f>randomselection('Ingredient Confirm'!$B$2:$B$406)</f>
        <v>liver</v>
      </c>
      <c r="D48">
        <f t="shared" ca="1" si="1"/>
        <v>1</v>
      </c>
      <c r="E48">
        <f ca="1">VLOOKUP(B48,Dish!$A$1:$C$91,3,FALSE)</f>
        <v>9</v>
      </c>
      <c r="F48" t="e">
        <f>VLOOKUP(C48,'Ingredient Confirm'!$B$1:$F$406,6,FALSE)</f>
        <v>#REF!</v>
      </c>
      <c r="G48" t="str">
        <f>VLOOKUP(C48,'Ingredient Confirm'!$B$1:$F$406,2,FALSE)</f>
        <v>piece</v>
      </c>
    </row>
    <row r="49" spans="2:7" x14ac:dyDescent="0.25">
      <c r="B49">
        <f t="shared" ca="1" si="0"/>
        <v>25</v>
      </c>
      <c r="C49" t="str">
        <f>randomselection('Ingredient Confirm'!$B$2:$B$406)</f>
        <v>broccoli</v>
      </c>
      <c r="D49">
        <f t="shared" ca="1" si="1"/>
        <v>2</v>
      </c>
      <c r="E49">
        <f ca="1">VLOOKUP(B49,Dish!$A$1:$C$91,3,FALSE)</f>
        <v>5</v>
      </c>
      <c r="F49" t="e">
        <f>VLOOKUP(C49,'Ingredient Confirm'!$B$1:$F$406,6,FALSE)</f>
        <v>#REF!</v>
      </c>
      <c r="G49" t="str">
        <f>VLOOKUP(C49,'Ingredient Confirm'!$B$1:$F$406,2,FALSE)</f>
        <v>package</v>
      </c>
    </row>
    <row r="50" spans="2:7" x14ac:dyDescent="0.25">
      <c r="B50">
        <f t="shared" ca="1" si="0"/>
        <v>25</v>
      </c>
      <c r="C50" t="str">
        <f>randomselection('Ingredient Confirm'!$B$2:$B$406)</f>
        <v>pea beans</v>
      </c>
      <c r="D50">
        <f t="shared" ca="1" si="1"/>
        <v>1</v>
      </c>
      <c r="E50">
        <f ca="1">VLOOKUP(B50,Dish!$A$1:$C$91,3,FALSE)</f>
        <v>5</v>
      </c>
      <c r="F50" t="e">
        <f>VLOOKUP(C50,'Ingredient Confirm'!$B$1:$F$406,6,FALSE)</f>
        <v>#REF!</v>
      </c>
      <c r="G50" t="str">
        <f>VLOOKUP(C50,'Ingredient Confirm'!$B$1:$F$406,2,FALSE)</f>
        <v>can</v>
      </c>
    </row>
    <row r="51" spans="2:7" x14ac:dyDescent="0.25">
      <c r="B51">
        <f t="shared" ca="1" si="0"/>
        <v>91</v>
      </c>
      <c r="C51" t="str">
        <f>randomselection('Ingredient Confirm'!$B$2:$B$406)</f>
        <v>pinto beans</v>
      </c>
      <c r="D51">
        <f t="shared" ca="1" si="1"/>
        <v>1</v>
      </c>
      <c r="E51">
        <f ca="1">VLOOKUP(B51,Dish!$A$1:$C$91,3,FALSE)</f>
        <v>6</v>
      </c>
      <c r="F51" t="e">
        <f>VLOOKUP(C51,'Ingredient Confirm'!$B$1:$F$406,6,FALSE)</f>
        <v>#REF!</v>
      </c>
      <c r="G51" t="str">
        <f>VLOOKUP(C51,'Ingredient Confirm'!$B$1:$F$406,2,FALSE)</f>
        <v>can</v>
      </c>
    </row>
    <row r="52" spans="2:7" x14ac:dyDescent="0.25">
      <c r="B52">
        <f t="shared" ca="1" si="0"/>
        <v>53</v>
      </c>
      <c r="C52" t="str">
        <f>randomselection('Ingredient Confirm'!$B$2:$B$406)</f>
        <v>colby cheese</v>
      </c>
      <c r="D52">
        <f t="shared" ca="1" si="1"/>
        <v>2</v>
      </c>
      <c r="E52">
        <f ca="1">VLOOKUP(B52,Dish!$A$1:$C$91,3,FALSE)</f>
        <v>14</v>
      </c>
      <c r="F52" t="e">
        <f>VLOOKUP(C52,'Ingredient Confirm'!$B$1:$F$406,6,FALSE)</f>
        <v>#REF!</v>
      </c>
      <c r="G52" t="str">
        <f>VLOOKUP(C52,'Ingredient Confirm'!$B$1:$F$406,2,FALSE)</f>
        <v>package</v>
      </c>
    </row>
    <row r="53" spans="2:7" x14ac:dyDescent="0.25">
      <c r="B53">
        <f t="shared" ca="1" si="0"/>
        <v>29</v>
      </c>
      <c r="C53" t="str">
        <f>randomselection('Ingredient Confirm'!$B$2:$B$406)</f>
        <v>mushrooms</v>
      </c>
      <c r="D53">
        <f t="shared" ca="1" si="1"/>
        <v>2</v>
      </c>
      <c r="E53">
        <f ca="1">VLOOKUP(B53,Dish!$A$1:$C$91,3,FALSE)</f>
        <v>9</v>
      </c>
      <c r="F53" t="e">
        <f>VLOOKUP(C53,'Ingredient Confirm'!$B$1:$F$406,6,FALSE)</f>
        <v>#REF!</v>
      </c>
      <c r="G53" t="str">
        <f>VLOOKUP(C53,'Ingredient Confirm'!$B$1:$F$406,2,FALSE)</f>
        <v>can</v>
      </c>
    </row>
    <row r="54" spans="2:7" x14ac:dyDescent="0.25">
      <c r="B54">
        <f t="shared" ca="1" si="0"/>
        <v>75</v>
      </c>
      <c r="C54" t="str">
        <f>randomselection('Ingredient Confirm'!$B$2:$B$406)</f>
        <v>tomato puree</v>
      </c>
      <c r="D54">
        <f t="shared" ca="1" si="1"/>
        <v>2</v>
      </c>
      <c r="E54">
        <f ca="1">VLOOKUP(B54,Dish!$A$1:$C$91,3,FALSE)</f>
        <v>5</v>
      </c>
      <c r="F54" t="e">
        <f>VLOOKUP(C54,'Ingredient Confirm'!$B$1:$F$406,6,FALSE)</f>
        <v>#REF!</v>
      </c>
      <c r="G54" t="str">
        <f>VLOOKUP(C54,'Ingredient Confirm'!$B$1:$F$406,2,FALSE)</f>
        <v>can</v>
      </c>
    </row>
    <row r="55" spans="2:7" x14ac:dyDescent="0.25">
      <c r="B55">
        <f t="shared" ca="1" si="0"/>
        <v>53</v>
      </c>
      <c r="C55" t="str">
        <f>randomselection('Ingredient Confirm'!$B$2:$B$406)</f>
        <v>red pepper flakes</v>
      </c>
      <c r="D55">
        <f t="shared" ca="1" si="1"/>
        <v>2</v>
      </c>
      <c r="E55">
        <f ca="1">VLOOKUP(B55,Dish!$A$1:$C$91,3,FALSE)</f>
        <v>14</v>
      </c>
      <c r="F55" t="e">
        <f>VLOOKUP(C55,'Ingredient Confirm'!$B$1:$F$406,6,FALSE)</f>
        <v>#REF!</v>
      </c>
      <c r="G55" t="str">
        <f>VLOOKUP(C55,'Ingredient Confirm'!$B$1:$F$406,2,FALSE)</f>
        <v>package</v>
      </c>
    </row>
    <row r="56" spans="2:7" x14ac:dyDescent="0.25">
      <c r="B56">
        <f t="shared" ca="1" si="0"/>
        <v>30</v>
      </c>
      <c r="C56" t="str">
        <f>randomselection('Ingredient Confirm'!$B$2:$B$406)</f>
        <v>cantaloupes</v>
      </c>
      <c r="D56">
        <f t="shared" ca="1" si="1"/>
        <v>2</v>
      </c>
      <c r="E56">
        <f ca="1">VLOOKUP(B56,Dish!$A$1:$C$91,3,FALSE)</f>
        <v>12</v>
      </c>
      <c r="F56" t="e">
        <f>VLOOKUP(C56,'Ingredient Confirm'!$B$1:$F$406,6,FALSE)</f>
        <v>#REF!</v>
      </c>
      <c r="G56" t="str">
        <f>VLOOKUP(C56,'Ingredient Confirm'!$B$1:$F$406,2,FALSE)</f>
        <v>piece</v>
      </c>
    </row>
    <row r="57" spans="2:7" x14ac:dyDescent="0.25">
      <c r="B57">
        <f t="shared" ca="1" si="0"/>
        <v>51</v>
      </c>
      <c r="C57" t="str">
        <f>randomselection('Ingredient Confirm'!$B$2:$B$406)</f>
        <v>red pepper flakes</v>
      </c>
      <c r="D57">
        <f t="shared" ca="1" si="1"/>
        <v>2</v>
      </c>
      <c r="E57">
        <f ca="1">VLOOKUP(B57,Dish!$A$1:$C$91,3,FALSE)</f>
        <v>15</v>
      </c>
      <c r="F57" t="e">
        <f>VLOOKUP(C57,'Ingredient Confirm'!$B$1:$F$406,6,FALSE)</f>
        <v>#REF!</v>
      </c>
      <c r="G57" t="str">
        <f>VLOOKUP(C57,'Ingredient Confirm'!$B$1:$F$406,2,FALSE)</f>
        <v>package</v>
      </c>
    </row>
    <row r="58" spans="2:7" x14ac:dyDescent="0.25">
      <c r="B58">
        <f t="shared" ca="1" si="0"/>
        <v>55</v>
      </c>
      <c r="C58" t="str">
        <f>randomselection('Ingredient Confirm'!$B$2:$B$406)</f>
        <v>mackerel</v>
      </c>
      <c r="D58">
        <f t="shared" ca="1" si="1"/>
        <v>2</v>
      </c>
      <c r="E58">
        <f ca="1">VLOOKUP(B58,Dish!$A$1:$C$91,3,FALSE)</f>
        <v>5</v>
      </c>
      <c r="F58" t="e">
        <f>VLOOKUP(C58,'Ingredient Confirm'!$B$1:$F$406,6,FALSE)</f>
        <v>#REF!</v>
      </c>
      <c r="G58" t="str">
        <f>VLOOKUP(C58,'Ingredient Confirm'!$B$1:$F$406,2,FALSE)</f>
        <v>piece</v>
      </c>
    </row>
    <row r="59" spans="2:7" x14ac:dyDescent="0.25">
      <c r="B59">
        <f t="shared" ca="1" si="0"/>
        <v>21</v>
      </c>
      <c r="C59" t="str">
        <f>randomselection('Ingredient Confirm'!$B$2:$B$406)</f>
        <v>flax seed</v>
      </c>
      <c r="D59">
        <f t="shared" ca="1" si="1"/>
        <v>2</v>
      </c>
      <c r="E59">
        <f ca="1">VLOOKUP(B59,Dish!$A$1:$C$91,3,FALSE)</f>
        <v>10</v>
      </c>
      <c r="F59" t="e">
        <f>VLOOKUP(C59,'Ingredient Confirm'!$B$1:$F$406,6,FALSE)</f>
        <v>#REF!</v>
      </c>
      <c r="G59" t="str">
        <f>VLOOKUP(C59,'Ingredient Confirm'!$B$1:$F$406,2,FALSE)</f>
        <v>can</v>
      </c>
    </row>
    <row r="60" spans="2:7" x14ac:dyDescent="0.25">
      <c r="B60">
        <f t="shared" ca="1" si="0"/>
        <v>58</v>
      </c>
      <c r="C60" t="str">
        <f>randomselection('Ingredient Confirm'!$B$2:$B$406)</f>
        <v>gelatin</v>
      </c>
      <c r="D60">
        <f t="shared" ca="1" si="1"/>
        <v>1</v>
      </c>
      <c r="E60">
        <f ca="1">VLOOKUP(B60,Dish!$A$1:$C$91,3,FALSE)</f>
        <v>8</v>
      </c>
      <c r="F60" t="e">
        <f>VLOOKUP(C60,'Ingredient Confirm'!$B$1:$F$406,6,FALSE)</f>
        <v>#REF!</v>
      </c>
      <c r="G60" t="str">
        <f>VLOOKUP(C60,'Ingredient Confirm'!$B$1:$F$406,2,FALSE)</f>
        <v>can</v>
      </c>
    </row>
    <row r="61" spans="2:7" x14ac:dyDescent="0.25">
      <c r="B61">
        <f t="shared" ca="1" si="0"/>
        <v>94</v>
      </c>
      <c r="C61" t="str">
        <f>randomselection('Ingredient Confirm'!$B$2:$B$406)</f>
        <v>steak</v>
      </c>
      <c r="D61">
        <f t="shared" ca="1" si="1"/>
        <v>1</v>
      </c>
      <c r="E61">
        <f ca="1">VLOOKUP(B61,Dish!$A$1:$C$91,3,FALSE)</f>
        <v>12</v>
      </c>
      <c r="F61" t="e">
        <f>VLOOKUP(C61,'Ingredient Confirm'!$B$1:$F$406,6,FALSE)</f>
        <v>#REF!</v>
      </c>
      <c r="G61" t="str">
        <f>VLOOKUP(C61,'Ingredient Confirm'!$B$1:$F$406,2,FALSE)</f>
        <v>piece</v>
      </c>
    </row>
    <row r="62" spans="2:7" x14ac:dyDescent="0.25">
      <c r="B62">
        <f t="shared" ca="1" si="0"/>
        <v>38</v>
      </c>
      <c r="C62" t="str">
        <f>randomselection('Ingredient Confirm'!$B$2:$B$406)</f>
        <v>hash browns</v>
      </c>
      <c r="D62">
        <f t="shared" ca="1" si="1"/>
        <v>2</v>
      </c>
      <c r="E62">
        <f ca="1">VLOOKUP(B62,Dish!$A$1:$C$91,3,FALSE)</f>
        <v>3</v>
      </c>
      <c r="F62" t="e">
        <f>VLOOKUP(C62,'Ingredient Confirm'!$B$1:$F$406,6,FALSE)</f>
        <v>#REF!</v>
      </c>
      <c r="G62" t="str">
        <f>VLOOKUP(C62,'Ingredient Confirm'!$B$1:$F$406,2,FALSE)</f>
        <v>package</v>
      </c>
    </row>
    <row r="63" spans="2:7" x14ac:dyDescent="0.25">
      <c r="B63">
        <f t="shared" ca="1" si="0"/>
        <v>51</v>
      </c>
      <c r="C63" t="str">
        <f>randomselection('Ingredient Confirm'!$B$2:$B$406)</f>
        <v>steak</v>
      </c>
      <c r="D63">
        <f t="shared" ca="1" si="1"/>
        <v>2</v>
      </c>
      <c r="E63">
        <f ca="1">VLOOKUP(B63,Dish!$A$1:$C$91,3,FALSE)</f>
        <v>15</v>
      </c>
      <c r="F63" t="e">
        <f>VLOOKUP(C63,'Ingredient Confirm'!$B$1:$F$406,6,FALSE)</f>
        <v>#REF!</v>
      </c>
      <c r="G63" t="str">
        <f>VLOOKUP(C63,'Ingredient Confirm'!$B$1:$F$406,2,FALSE)</f>
        <v>piece</v>
      </c>
    </row>
    <row r="64" spans="2:7" x14ac:dyDescent="0.25">
      <c r="B64">
        <f t="shared" ca="1" si="0"/>
        <v>72</v>
      </c>
      <c r="C64" t="str">
        <f>randomselection('Ingredient Confirm'!$B$2:$B$406)</f>
        <v>mushrooms</v>
      </c>
      <c r="D64">
        <f t="shared" ca="1" si="1"/>
        <v>2</v>
      </c>
      <c r="E64">
        <f ca="1">VLOOKUP(B64,Dish!$A$1:$C$91,3,FALSE)</f>
        <v>3</v>
      </c>
      <c r="F64" t="e">
        <f>VLOOKUP(C64,'Ingredient Confirm'!$B$1:$F$406,6,FALSE)</f>
        <v>#REF!</v>
      </c>
      <c r="G64" t="str">
        <f>VLOOKUP(C64,'Ingredient Confirm'!$B$1:$F$406,2,FALSE)</f>
        <v>can</v>
      </c>
    </row>
    <row r="65" spans="2:7" x14ac:dyDescent="0.25">
      <c r="B65">
        <f t="shared" ca="1" si="0"/>
        <v>35</v>
      </c>
      <c r="C65" t="str">
        <f>randomselection('Ingredient Confirm'!$B$2:$B$406)</f>
        <v>garlic</v>
      </c>
      <c r="D65">
        <f t="shared" ca="1" si="1"/>
        <v>2</v>
      </c>
      <c r="E65">
        <f ca="1">VLOOKUP(B65,Dish!$A$1:$C$91,3,FALSE)</f>
        <v>7</v>
      </c>
      <c r="F65" t="e">
        <f>VLOOKUP(C65,'Ingredient Confirm'!$B$1:$F$406,6,FALSE)</f>
        <v>#REF!</v>
      </c>
      <c r="G65" t="str">
        <f>VLOOKUP(C65,'Ingredient Confirm'!$B$1:$F$406,2,FALSE)</f>
        <v>piece</v>
      </c>
    </row>
    <row r="66" spans="2:7" x14ac:dyDescent="0.25">
      <c r="B66">
        <f t="shared" ca="1" si="0"/>
        <v>49</v>
      </c>
      <c r="C66" t="str">
        <f>randomselection('Ingredient Confirm'!$B$2:$B$406)</f>
        <v>canola oil</v>
      </c>
      <c r="D66">
        <f t="shared" ca="1" si="1"/>
        <v>1</v>
      </c>
      <c r="E66">
        <f ca="1">VLOOKUP(B66,Dish!$A$1:$C$91,3,FALSE)</f>
        <v>11</v>
      </c>
      <c r="F66" t="e">
        <f>VLOOKUP(C66,'Ingredient Confirm'!$B$1:$F$406,6,FALSE)</f>
        <v>#REF!</v>
      </c>
      <c r="G66" t="str">
        <f>VLOOKUP(C66,'Ingredient Confirm'!$B$1:$F$406,2,FALSE)</f>
        <v>can</v>
      </c>
    </row>
    <row r="67" spans="2:7" x14ac:dyDescent="0.25">
      <c r="B67">
        <f t="shared" ca="1" si="0"/>
        <v>7</v>
      </c>
      <c r="C67" t="str">
        <f>randomselection('Ingredient Confirm'!$B$2:$B$406)</f>
        <v>garlic</v>
      </c>
      <c r="D67">
        <f t="shared" ca="1" si="1"/>
        <v>1</v>
      </c>
      <c r="E67">
        <f ca="1">VLOOKUP(B67,Dish!$A$1:$C$91,3,FALSE)</f>
        <v>15</v>
      </c>
      <c r="F67" t="e">
        <f>VLOOKUP(C67,'Ingredient Confirm'!$B$1:$F$406,6,FALSE)</f>
        <v>#REF!</v>
      </c>
      <c r="G67" t="str">
        <f>VLOOKUP(C67,'Ingredient Confirm'!$B$1:$F$406,2,FALSE)</f>
        <v>piece</v>
      </c>
    </row>
    <row r="68" spans="2:7" x14ac:dyDescent="0.25">
      <c r="B68">
        <f t="shared" ref="B68:B131" ca="1" si="2">RANDBETWEEN(7,96)</f>
        <v>76</v>
      </c>
      <c r="C68" t="str">
        <f>randomselection('Ingredient Confirm'!$B$2:$B$406)</f>
        <v>mackerel</v>
      </c>
      <c r="D68">
        <f t="shared" ref="D68:D131" ca="1" si="3">RANDBETWEEN(1,2)</f>
        <v>1</v>
      </c>
      <c r="E68">
        <f ca="1">VLOOKUP(B68,Dish!$A$1:$C$91,3,FALSE)</f>
        <v>12</v>
      </c>
      <c r="F68" t="e">
        <f>VLOOKUP(C68,'Ingredient Confirm'!$B$1:$F$406,6,FALSE)</f>
        <v>#REF!</v>
      </c>
      <c r="G68" t="str">
        <f>VLOOKUP(C68,'Ingredient Confirm'!$B$1:$F$406,2,FALSE)</f>
        <v>piece</v>
      </c>
    </row>
    <row r="69" spans="2:7" x14ac:dyDescent="0.25">
      <c r="B69">
        <f t="shared" ca="1" si="2"/>
        <v>24</v>
      </c>
      <c r="C69" t="str">
        <f>randomselection('Ingredient Confirm'!$B$2:$B$406)</f>
        <v>applesauce</v>
      </c>
      <c r="D69">
        <f t="shared" ca="1" si="3"/>
        <v>2</v>
      </c>
      <c r="E69">
        <f ca="1">VLOOKUP(B69,Dish!$A$1:$C$91,3,FALSE)</f>
        <v>10</v>
      </c>
      <c r="F69" t="e">
        <f>VLOOKUP(C69,'Ingredient Confirm'!$B$1:$F$406,6,FALSE)</f>
        <v>#REF!</v>
      </c>
      <c r="G69" t="str">
        <f>VLOOKUP(C69,'Ingredient Confirm'!$B$1:$F$406,2,FALSE)</f>
        <v>can</v>
      </c>
    </row>
    <row r="70" spans="2:7" x14ac:dyDescent="0.25">
      <c r="B70">
        <f t="shared" ca="1" si="2"/>
        <v>49</v>
      </c>
      <c r="C70" t="str">
        <f>randomselection('Ingredient Confirm'!$B$2:$B$406)</f>
        <v>canola oil</v>
      </c>
      <c r="D70">
        <f t="shared" ca="1" si="3"/>
        <v>1</v>
      </c>
      <c r="E70">
        <f ca="1">VLOOKUP(B70,Dish!$A$1:$C$91,3,FALSE)</f>
        <v>11</v>
      </c>
      <c r="F70" t="e">
        <f>VLOOKUP(C70,'Ingredient Confirm'!$B$1:$F$406,6,FALSE)</f>
        <v>#REF!</v>
      </c>
      <c r="G70" t="str">
        <f>VLOOKUP(C70,'Ingredient Confirm'!$B$1:$F$406,2,FALSE)</f>
        <v>can</v>
      </c>
    </row>
    <row r="71" spans="2:7" x14ac:dyDescent="0.25">
      <c r="B71">
        <f t="shared" ca="1" si="2"/>
        <v>83</v>
      </c>
      <c r="C71" t="str">
        <f>randomselection('Ingredient Confirm'!$B$2:$B$406)</f>
        <v>cream of tartar</v>
      </c>
      <c r="D71">
        <f t="shared" ca="1" si="3"/>
        <v>1</v>
      </c>
      <c r="E71">
        <f ca="1">VLOOKUP(B71,Dish!$A$1:$C$91,3,FALSE)</f>
        <v>13</v>
      </c>
      <c r="F71" t="e">
        <f>VLOOKUP(C71,'Ingredient Confirm'!$B$1:$F$406,6,FALSE)</f>
        <v>#REF!</v>
      </c>
      <c r="G71" t="str">
        <f>VLOOKUP(C71,'Ingredient Confirm'!$B$1:$F$406,2,FALSE)</f>
        <v>can</v>
      </c>
    </row>
    <row r="72" spans="2:7" x14ac:dyDescent="0.25">
      <c r="B72">
        <f t="shared" ca="1" si="2"/>
        <v>21</v>
      </c>
      <c r="C72" t="str">
        <f>randomselection('Ingredient Confirm'!$B$2:$B$406)</f>
        <v>gelatin</v>
      </c>
      <c r="D72">
        <f t="shared" ca="1" si="3"/>
        <v>2</v>
      </c>
      <c r="E72">
        <f ca="1">VLOOKUP(B72,Dish!$A$1:$C$91,3,FALSE)</f>
        <v>10</v>
      </c>
      <c r="F72" t="e">
        <f>VLOOKUP(C72,'Ingredient Confirm'!$B$1:$F$406,6,FALSE)</f>
        <v>#REF!</v>
      </c>
      <c r="G72" t="str">
        <f>VLOOKUP(C72,'Ingredient Confirm'!$B$1:$F$406,2,FALSE)</f>
        <v>can</v>
      </c>
    </row>
    <row r="73" spans="2:7" x14ac:dyDescent="0.25">
      <c r="B73">
        <f t="shared" ca="1" si="2"/>
        <v>90</v>
      </c>
      <c r="C73" t="str">
        <f>randomselection('Ingredient Confirm'!$B$2:$B$406)</f>
        <v>hash browns</v>
      </c>
      <c r="D73">
        <f t="shared" ca="1" si="3"/>
        <v>2</v>
      </c>
      <c r="E73">
        <f ca="1">VLOOKUP(B73,Dish!$A$1:$C$91,3,FALSE)</f>
        <v>3</v>
      </c>
      <c r="F73" t="e">
        <f>VLOOKUP(C73,'Ingredient Confirm'!$B$1:$F$406,6,FALSE)</f>
        <v>#REF!</v>
      </c>
      <c r="G73" t="str">
        <f>VLOOKUP(C73,'Ingredient Confirm'!$B$1:$F$406,2,FALSE)</f>
        <v>package</v>
      </c>
    </row>
    <row r="74" spans="2:7" x14ac:dyDescent="0.25">
      <c r="B74">
        <f t="shared" ca="1" si="2"/>
        <v>50</v>
      </c>
      <c r="C74" t="str">
        <f>randomselection('Ingredient Confirm'!$B$2:$B$406)</f>
        <v>acorn squash</v>
      </c>
      <c r="D74">
        <f t="shared" ca="1" si="3"/>
        <v>2</v>
      </c>
      <c r="E74">
        <f ca="1">VLOOKUP(B74,Dish!$A$1:$C$91,3,FALSE)</f>
        <v>8</v>
      </c>
      <c r="F74" t="e">
        <f>VLOOKUP(C74,'Ingredient Confirm'!$B$1:$F$406,6,FALSE)</f>
        <v>#REF!</v>
      </c>
      <c r="G74" t="str">
        <f>VLOOKUP(C74,'Ingredient Confirm'!$B$1:$F$406,2,FALSE)</f>
        <v>package</v>
      </c>
    </row>
    <row r="75" spans="2:7" x14ac:dyDescent="0.25">
      <c r="B75">
        <f t="shared" ca="1" si="2"/>
        <v>95</v>
      </c>
      <c r="C75" t="str">
        <f>randomselection('Ingredient Confirm'!$B$2:$B$406)</f>
        <v>eggplants</v>
      </c>
      <c r="D75">
        <f t="shared" ca="1" si="3"/>
        <v>1</v>
      </c>
      <c r="E75">
        <f ca="1">VLOOKUP(B75,Dish!$A$1:$C$91,3,FALSE)</f>
        <v>4</v>
      </c>
      <c r="F75" t="e">
        <f>VLOOKUP(C75,'Ingredient Confirm'!$B$1:$F$406,6,FALSE)</f>
        <v>#REF!</v>
      </c>
      <c r="G75" t="str">
        <f>VLOOKUP(C75,'Ingredient Confirm'!$B$1:$F$406,2,FALSE)</f>
        <v>can</v>
      </c>
    </row>
    <row r="76" spans="2:7" x14ac:dyDescent="0.25">
      <c r="B76">
        <f t="shared" ca="1" si="2"/>
        <v>30</v>
      </c>
      <c r="C76" t="str">
        <f>randomselection('Ingredient Confirm'!$B$2:$B$406)</f>
        <v>hamburger</v>
      </c>
      <c r="D76">
        <f t="shared" ca="1" si="3"/>
        <v>2</v>
      </c>
      <c r="E76">
        <f ca="1">VLOOKUP(B76,Dish!$A$1:$C$91,3,FALSE)</f>
        <v>12</v>
      </c>
      <c r="F76" t="e">
        <f>VLOOKUP(C76,'Ingredient Confirm'!$B$1:$F$406,6,FALSE)</f>
        <v>#REF!</v>
      </c>
      <c r="G76" t="str">
        <f>VLOOKUP(C76,'Ingredient Confirm'!$B$1:$F$406,2,FALSE)</f>
        <v>piece</v>
      </c>
    </row>
    <row r="77" spans="2:7" x14ac:dyDescent="0.25">
      <c r="B77">
        <f t="shared" ca="1" si="2"/>
        <v>83</v>
      </c>
      <c r="C77" t="str">
        <f>randomselection('Ingredient Confirm'!$B$2:$B$406)</f>
        <v>canola oil</v>
      </c>
      <c r="D77">
        <f t="shared" ca="1" si="3"/>
        <v>2</v>
      </c>
      <c r="E77">
        <f ca="1">VLOOKUP(B77,Dish!$A$1:$C$91,3,FALSE)</f>
        <v>13</v>
      </c>
      <c r="F77" t="e">
        <f>VLOOKUP(C77,'Ingredient Confirm'!$B$1:$F$406,6,FALSE)</f>
        <v>#REF!</v>
      </c>
      <c r="G77" t="str">
        <f>VLOOKUP(C77,'Ingredient Confirm'!$B$1:$F$406,2,FALSE)</f>
        <v>can</v>
      </c>
    </row>
    <row r="78" spans="2:7" x14ac:dyDescent="0.25">
      <c r="B78">
        <f t="shared" ca="1" si="2"/>
        <v>63</v>
      </c>
      <c r="C78" t="str">
        <f>randomselection('Ingredient Confirm'!$B$2:$B$406)</f>
        <v>liver</v>
      </c>
      <c r="D78">
        <f t="shared" ca="1" si="3"/>
        <v>2</v>
      </c>
      <c r="E78">
        <f ca="1">VLOOKUP(B78,Dish!$A$1:$C$91,3,FALSE)</f>
        <v>4</v>
      </c>
      <c r="F78" t="e">
        <f>VLOOKUP(C78,'Ingredient Confirm'!$B$1:$F$406,6,FALSE)</f>
        <v>#REF!</v>
      </c>
      <c r="G78" t="str">
        <f>VLOOKUP(C78,'Ingredient Confirm'!$B$1:$F$406,2,FALSE)</f>
        <v>piece</v>
      </c>
    </row>
    <row r="79" spans="2:7" x14ac:dyDescent="0.25">
      <c r="B79">
        <f t="shared" ca="1" si="2"/>
        <v>44</v>
      </c>
      <c r="C79" t="str">
        <f>randomselection('Ingredient Confirm'!$B$2:$B$406)</f>
        <v>grouper</v>
      </c>
      <c r="D79">
        <f t="shared" ca="1" si="3"/>
        <v>1</v>
      </c>
      <c r="E79">
        <f ca="1">VLOOKUP(B79,Dish!$A$1:$C$91,3,FALSE)</f>
        <v>2</v>
      </c>
      <c r="F79" t="e">
        <f>VLOOKUP(C79,'Ingredient Confirm'!$B$1:$F$406,6,FALSE)</f>
        <v>#REF!</v>
      </c>
      <c r="G79" t="str">
        <f>VLOOKUP(C79,'Ingredient Confirm'!$B$1:$F$406,2,FALSE)</f>
        <v>piece</v>
      </c>
    </row>
    <row r="80" spans="2:7" x14ac:dyDescent="0.25">
      <c r="B80">
        <f t="shared" ca="1" si="2"/>
        <v>17</v>
      </c>
      <c r="C80" t="str">
        <f>randomselection('Ingredient Confirm'!$B$2:$B$406)</f>
        <v>colby cheese</v>
      </c>
      <c r="D80">
        <f t="shared" ca="1" si="3"/>
        <v>1</v>
      </c>
      <c r="E80">
        <f ca="1">VLOOKUP(B80,Dish!$A$1:$C$91,3,FALSE)</f>
        <v>2</v>
      </c>
      <c r="F80" t="e">
        <f>VLOOKUP(C80,'Ingredient Confirm'!$B$1:$F$406,6,FALSE)</f>
        <v>#REF!</v>
      </c>
      <c r="G80" t="str">
        <f>VLOOKUP(C80,'Ingredient Confirm'!$B$1:$F$406,2,FALSE)</f>
        <v>package</v>
      </c>
    </row>
    <row r="81" spans="2:7" x14ac:dyDescent="0.25">
      <c r="B81">
        <f t="shared" ca="1" si="2"/>
        <v>42</v>
      </c>
      <c r="C81" t="str">
        <f>randomselection('Ingredient Confirm'!$B$2:$B$406)</f>
        <v>coriander</v>
      </c>
      <c r="D81">
        <f t="shared" ca="1" si="3"/>
        <v>1</v>
      </c>
      <c r="E81">
        <f ca="1">VLOOKUP(B81,Dish!$A$1:$C$91,3,FALSE)</f>
        <v>13</v>
      </c>
      <c r="F81" t="e">
        <f>VLOOKUP(C81,'Ingredient Confirm'!$B$1:$F$406,6,FALSE)</f>
        <v>#REF!</v>
      </c>
      <c r="G81" t="str">
        <f>VLOOKUP(C81,'Ingredient Confirm'!$B$1:$F$406,2,FALSE)</f>
        <v>can</v>
      </c>
    </row>
    <row r="82" spans="2:7" x14ac:dyDescent="0.25">
      <c r="B82">
        <f t="shared" ca="1" si="2"/>
        <v>72</v>
      </c>
      <c r="C82" t="str">
        <f>randomselection('Ingredient Confirm'!$B$2:$B$406)</f>
        <v>tomato puree</v>
      </c>
      <c r="D82">
        <f t="shared" ca="1" si="3"/>
        <v>1</v>
      </c>
      <c r="E82">
        <f ca="1">VLOOKUP(B82,Dish!$A$1:$C$91,3,FALSE)</f>
        <v>3</v>
      </c>
      <c r="F82" t="e">
        <f>VLOOKUP(C82,'Ingredient Confirm'!$B$1:$F$406,6,FALSE)</f>
        <v>#REF!</v>
      </c>
      <c r="G82" t="str">
        <f>VLOOKUP(C82,'Ingredient Confirm'!$B$1:$F$406,2,FALSE)</f>
        <v>can</v>
      </c>
    </row>
    <row r="83" spans="2:7" x14ac:dyDescent="0.25">
      <c r="B83">
        <f t="shared" ca="1" si="2"/>
        <v>45</v>
      </c>
      <c r="C83" t="str">
        <f>randomselection('Ingredient Confirm'!$B$2:$B$406)</f>
        <v>spaghetti squash</v>
      </c>
      <c r="D83">
        <f t="shared" ca="1" si="3"/>
        <v>2</v>
      </c>
      <c r="E83">
        <f ca="1">VLOOKUP(B83,Dish!$A$1:$C$91,3,FALSE)</f>
        <v>13</v>
      </c>
      <c r="F83" t="e">
        <f>VLOOKUP(C83,'Ingredient Confirm'!$B$1:$F$406,6,FALSE)</f>
        <v>#REF!</v>
      </c>
      <c r="G83" t="str">
        <f>VLOOKUP(C83,'Ingredient Confirm'!$B$1:$F$406,2,FALSE)</f>
        <v>package</v>
      </c>
    </row>
    <row r="84" spans="2:7" x14ac:dyDescent="0.25">
      <c r="B84">
        <f t="shared" ca="1" si="2"/>
        <v>84</v>
      </c>
      <c r="C84" t="str">
        <f>randomselection('Ingredient Confirm'!$B$2:$B$406)</f>
        <v>provolone</v>
      </c>
      <c r="D84">
        <f t="shared" ca="1" si="3"/>
        <v>1</v>
      </c>
      <c r="E84">
        <f ca="1">VLOOKUP(B84,Dish!$A$1:$C$91,3,FALSE)</f>
        <v>14</v>
      </c>
      <c r="F84" t="e">
        <f>VLOOKUP(C84,'Ingredient Confirm'!$B$1:$F$406,6,FALSE)</f>
        <v>#REF!</v>
      </c>
      <c r="G84" t="str">
        <f>VLOOKUP(C84,'Ingredient Confirm'!$B$1:$F$406,2,FALSE)</f>
        <v>package</v>
      </c>
    </row>
    <row r="85" spans="2:7" x14ac:dyDescent="0.25">
      <c r="B85">
        <f t="shared" ca="1" si="2"/>
        <v>88</v>
      </c>
      <c r="C85" t="str">
        <f>randomselection('Ingredient Confirm'!$B$2:$B$406)</f>
        <v>cream of tartar</v>
      </c>
      <c r="D85">
        <f t="shared" ca="1" si="3"/>
        <v>1</v>
      </c>
      <c r="E85">
        <f ca="1">VLOOKUP(B85,Dish!$A$1:$C$91,3,FALSE)</f>
        <v>2</v>
      </c>
      <c r="F85" t="e">
        <f>VLOOKUP(C85,'Ingredient Confirm'!$B$1:$F$406,6,FALSE)</f>
        <v>#REF!</v>
      </c>
      <c r="G85" t="str">
        <f>VLOOKUP(C85,'Ingredient Confirm'!$B$1:$F$406,2,FALSE)</f>
        <v>can</v>
      </c>
    </row>
    <row r="86" spans="2:7" x14ac:dyDescent="0.25">
      <c r="B86">
        <f t="shared" ca="1" si="2"/>
        <v>7</v>
      </c>
      <c r="C86" t="str">
        <f>randomselection('Ingredient Confirm'!$B$2:$B$406)</f>
        <v>mackerel</v>
      </c>
      <c r="D86">
        <f t="shared" ca="1" si="3"/>
        <v>1</v>
      </c>
      <c r="E86">
        <f ca="1">VLOOKUP(B86,Dish!$A$1:$C$91,3,FALSE)</f>
        <v>15</v>
      </c>
      <c r="F86" t="e">
        <f>VLOOKUP(C86,'Ingredient Confirm'!$B$1:$F$406,6,FALSE)</f>
        <v>#REF!</v>
      </c>
      <c r="G86" t="str">
        <f>VLOOKUP(C86,'Ingredient Confirm'!$B$1:$F$406,2,FALSE)</f>
        <v>piece</v>
      </c>
    </row>
    <row r="87" spans="2:7" x14ac:dyDescent="0.25">
      <c r="B87">
        <f t="shared" ca="1" si="2"/>
        <v>75</v>
      </c>
      <c r="C87" t="str">
        <f>randomselection('Ingredient Confirm'!$B$2:$B$406)</f>
        <v>garlic</v>
      </c>
      <c r="D87">
        <f t="shared" ca="1" si="3"/>
        <v>1</v>
      </c>
      <c r="E87">
        <f ca="1">VLOOKUP(B87,Dish!$A$1:$C$91,3,FALSE)</f>
        <v>5</v>
      </c>
      <c r="F87" t="e">
        <f>VLOOKUP(C87,'Ingredient Confirm'!$B$1:$F$406,6,FALSE)</f>
        <v>#REF!</v>
      </c>
      <c r="G87" t="str">
        <f>VLOOKUP(C87,'Ingredient Confirm'!$B$1:$F$406,2,FALSE)</f>
        <v>piece</v>
      </c>
    </row>
    <row r="88" spans="2:7" x14ac:dyDescent="0.25">
      <c r="B88">
        <f t="shared" ca="1" si="2"/>
        <v>52</v>
      </c>
      <c r="C88" t="str">
        <f>randomselection('Ingredient Confirm'!$B$2:$B$406)</f>
        <v>poppy seeds</v>
      </c>
      <c r="D88">
        <f t="shared" ca="1" si="3"/>
        <v>2</v>
      </c>
      <c r="E88">
        <f ca="1">VLOOKUP(B88,Dish!$A$1:$C$91,3,FALSE)</f>
        <v>8</v>
      </c>
      <c r="F88" t="e">
        <f>VLOOKUP(C88,'Ingredient Confirm'!$B$1:$F$406,6,FALSE)</f>
        <v>#REF!</v>
      </c>
      <c r="G88" t="str">
        <f>VLOOKUP(C88,'Ingredient Confirm'!$B$1:$F$406,2,FALSE)</f>
        <v>can</v>
      </c>
    </row>
    <row r="89" spans="2:7" x14ac:dyDescent="0.25">
      <c r="B89">
        <f t="shared" ca="1" si="2"/>
        <v>71</v>
      </c>
      <c r="C89" t="str">
        <f>randomselection('Ingredient Confirm'!$B$2:$B$406)</f>
        <v>garlic</v>
      </c>
      <c r="D89">
        <f t="shared" ca="1" si="3"/>
        <v>2</v>
      </c>
      <c r="E89">
        <f ca="1">VLOOKUP(B89,Dish!$A$1:$C$91,3,FALSE)</f>
        <v>15</v>
      </c>
      <c r="F89" t="e">
        <f>VLOOKUP(C89,'Ingredient Confirm'!$B$1:$F$406,6,FALSE)</f>
        <v>#REF!</v>
      </c>
      <c r="G89" t="str">
        <f>VLOOKUP(C89,'Ingredient Confirm'!$B$1:$F$406,2,FALSE)</f>
        <v>piece</v>
      </c>
    </row>
    <row r="90" spans="2:7" x14ac:dyDescent="0.25">
      <c r="B90">
        <f t="shared" ca="1" si="2"/>
        <v>71</v>
      </c>
      <c r="C90" t="str">
        <f>randomselection('Ingredient Confirm'!$B$2:$B$406)</f>
        <v>spaghetti squash</v>
      </c>
      <c r="D90">
        <f t="shared" ca="1" si="3"/>
        <v>1</v>
      </c>
      <c r="E90">
        <f ca="1">VLOOKUP(B90,Dish!$A$1:$C$91,3,FALSE)</f>
        <v>15</v>
      </c>
      <c r="F90" t="e">
        <f>VLOOKUP(C90,'Ingredient Confirm'!$B$1:$F$406,6,FALSE)</f>
        <v>#REF!</v>
      </c>
      <c r="G90" t="str">
        <f>VLOOKUP(C90,'Ingredient Confirm'!$B$1:$F$406,2,FALSE)</f>
        <v>package</v>
      </c>
    </row>
    <row r="91" spans="2:7" x14ac:dyDescent="0.25">
      <c r="B91">
        <f t="shared" ca="1" si="2"/>
        <v>35</v>
      </c>
      <c r="C91" t="str">
        <f>randomselection('Ingredient Confirm'!$B$2:$B$406)</f>
        <v>pea beans</v>
      </c>
      <c r="D91">
        <f t="shared" ca="1" si="3"/>
        <v>2</v>
      </c>
      <c r="E91">
        <f ca="1">VLOOKUP(B91,Dish!$A$1:$C$91,3,FALSE)</f>
        <v>7</v>
      </c>
      <c r="F91" t="e">
        <f>VLOOKUP(C91,'Ingredient Confirm'!$B$1:$F$406,6,FALSE)</f>
        <v>#REF!</v>
      </c>
      <c r="G91" t="str">
        <f>VLOOKUP(C91,'Ingredient Confirm'!$B$1:$F$406,2,FALSE)</f>
        <v>can</v>
      </c>
    </row>
    <row r="92" spans="2:7" x14ac:dyDescent="0.25">
      <c r="B92">
        <f t="shared" ca="1" si="2"/>
        <v>67</v>
      </c>
      <c r="C92" t="str">
        <f>randomselection('Ingredient Confirm'!$B$2:$B$406)</f>
        <v>bay leaves</v>
      </c>
      <c r="D92">
        <f t="shared" ca="1" si="3"/>
        <v>1</v>
      </c>
      <c r="E92">
        <f ca="1">VLOOKUP(B92,Dish!$A$1:$C$91,3,FALSE)</f>
        <v>4</v>
      </c>
      <c r="F92" t="e">
        <f>VLOOKUP(C92,'Ingredient Confirm'!$B$1:$F$406,6,FALSE)</f>
        <v>#REF!</v>
      </c>
      <c r="G92" t="str">
        <f>VLOOKUP(C92,'Ingredient Confirm'!$B$1:$F$406,2,FALSE)</f>
        <v>can</v>
      </c>
    </row>
    <row r="93" spans="2:7" x14ac:dyDescent="0.25">
      <c r="B93">
        <f t="shared" ca="1" si="2"/>
        <v>76</v>
      </c>
      <c r="C93" t="str">
        <f>randomselection('Ingredient Confirm'!$B$2:$B$406)</f>
        <v>sesame seeds</v>
      </c>
      <c r="D93">
        <f t="shared" ca="1" si="3"/>
        <v>1</v>
      </c>
      <c r="E93">
        <f ca="1">VLOOKUP(B93,Dish!$A$1:$C$91,3,FALSE)</f>
        <v>12</v>
      </c>
      <c r="F93" t="e">
        <f>VLOOKUP(C93,'Ingredient Confirm'!$B$1:$F$406,6,FALSE)</f>
        <v>#REF!</v>
      </c>
      <c r="G93" t="str">
        <f>VLOOKUP(C93,'Ingredient Confirm'!$B$1:$F$406,2,FALSE)</f>
        <v>package</v>
      </c>
    </row>
    <row r="94" spans="2:7" x14ac:dyDescent="0.25">
      <c r="B94">
        <f t="shared" ca="1" si="2"/>
        <v>70</v>
      </c>
      <c r="C94" t="str">
        <f>randomselection('Ingredient Confirm'!$B$2:$B$406)</f>
        <v>beets</v>
      </c>
      <c r="D94">
        <f t="shared" ca="1" si="3"/>
        <v>2</v>
      </c>
      <c r="E94">
        <f ca="1">VLOOKUP(B94,Dish!$A$1:$C$91,3,FALSE)</f>
        <v>3</v>
      </c>
      <c r="F94" t="e">
        <f>VLOOKUP(C94,'Ingredient Confirm'!$B$1:$F$406,6,FALSE)</f>
        <v>#REF!</v>
      </c>
      <c r="G94" t="str">
        <f>VLOOKUP(C94,'Ingredient Confirm'!$B$1:$F$406,2,FALSE)</f>
        <v>can</v>
      </c>
    </row>
    <row r="95" spans="2:7" x14ac:dyDescent="0.25">
      <c r="B95">
        <f t="shared" ca="1" si="2"/>
        <v>11</v>
      </c>
      <c r="C95" t="str">
        <f>randomselection('Ingredient Confirm'!$B$2:$B$406)</f>
        <v>gelatin</v>
      </c>
      <c r="D95">
        <f t="shared" ca="1" si="3"/>
        <v>2</v>
      </c>
      <c r="E95">
        <f ca="1">VLOOKUP(B95,Dish!$A$1:$C$91,3,FALSE)</f>
        <v>10</v>
      </c>
      <c r="F95" t="e">
        <f>VLOOKUP(C95,'Ingredient Confirm'!$B$1:$F$406,6,FALSE)</f>
        <v>#REF!</v>
      </c>
      <c r="G95" t="str">
        <f>VLOOKUP(C95,'Ingredient Confirm'!$B$1:$F$406,2,FALSE)</f>
        <v>can</v>
      </c>
    </row>
    <row r="96" spans="2:7" x14ac:dyDescent="0.25">
      <c r="B96">
        <f t="shared" ca="1" si="2"/>
        <v>76</v>
      </c>
      <c r="C96" t="str">
        <f>randomselection('Ingredient Confirm'!$B$2:$B$406)</f>
        <v>grouper</v>
      </c>
      <c r="D96">
        <f t="shared" ca="1" si="3"/>
        <v>1</v>
      </c>
      <c r="E96">
        <f ca="1">VLOOKUP(B96,Dish!$A$1:$C$91,3,FALSE)</f>
        <v>12</v>
      </c>
      <c r="F96" t="e">
        <f>VLOOKUP(C96,'Ingredient Confirm'!$B$1:$F$406,6,FALSE)</f>
        <v>#REF!</v>
      </c>
      <c r="G96" t="str">
        <f>VLOOKUP(C96,'Ingredient Confirm'!$B$1:$F$406,2,FALSE)</f>
        <v>piece</v>
      </c>
    </row>
    <row r="97" spans="2:7" x14ac:dyDescent="0.25">
      <c r="B97">
        <f t="shared" ca="1" si="2"/>
        <v>37</v>
      </c>
      <c r="C97" t="str">
        <f>randomselection('Ingredient Confirm'!$B$2:$B$406)</f>
        <v>peaches</v>
      </c>
      <c r="D97">
        <f t="shared" ca="1" si="3"/>
        <v>2</v>
      </c>
      <c r="E97">
        <f ca="1">VLOOKUP(B97,Dish!$A$1:$C$91,3,FALSE)</f>
        <v>13</v>
      </c>
      <c r="F97" t="e">
        <f>VLOOKUP(C97,'Ingredient Confirm'!$B$1:$F$406,6,FALSE)</f>
        <v>#REF!</v>
      </c>
      <c r="G97" t="str">
        <f>VLOOKUP(C97,'Ingredient Confirm'!$B$1:$F$406,2,FALSE)</f>
        <v>can</v>
      </c>
    </row>
    <row r="98" spans="2:7" x14ac:dyDescent="0.25">
      <c r="B98">
        <f t="shared" ca="1" si="2"/>
        <v>72</v>
      </c>
      <c r="C98" t="str">
        <f>randomselection('Ingredient Confirm'!$B$2:$B$406)</f>
        <v>provolone</v>
      </c>
      <c r="D98">
        <f t="shared" ca="1" si="3"/>
        <v>2</v>
      </c>
      <c r="E98">
        <f ca="1">VLOOKUP(B98,Dish!$A$1:$C$91,3,FALSE)</f>
        <v>3</v>
      </c>
      <c r="F98" t="e">
        <f>VLOOKUP(C98,'Ingredient Confirm'!$B$1:$F$406,6,FALSE)</f>
        <v>#REF!</v>
      </c>
      <c r="G98" t="str">
        <f>VLOOKUP(C98,'Ingredient Confirm'!$B$1:$F$406,2,FALSE)</f>
        <v>package</v>
      </c>
    </row>
    <row r="99" spans="2:7" x14ac:dyDescent="0.25">
      <c r="B99">
        <f t="shared" ca="1" si="2"/>
        <v>83</v>
      </c>
      <c r="C99" t="str">
        <f>randomselection('Ingredient Confirm'!$B$2:$B$406)</f>
        <v>bay leaves</v>
      </c>
      <c r="D99">
        <f t="shared" ca="1" si="3"/>
        <v>2</v>
      </c>
      <c r="E99">
        <f ca="1">VLOOKUP(B99,Dish!$A$1:$C$91,3,FALSE)</f>
        <v>13</v>
      </c>
      <c r="F99" t="e">
        <f>VLOOKUP(C99,'Ingredient Confirm'!$B$1:$F$406,6,FALSE)</f>
        <v>#REF!</v>
      </c>
      <c r="G99" t="str">
        <f>VLOOKUP(C99,'Ingredient Confirm'!$B$1:$F$406,2,FALSE)</f>
        <v>can</v>
      </c>
    </row>
    <row r="100" spans="2:7" x14ac:dyDescent="0.25">
      <c r="B100">
        <f t="shared" ca="1" si="2"/>
        <v>29</v>
      </c>
      <c r="C100" t="str">
        <f>randomselection('Ingredient Confirm'!$B$2:$B$406)</f>
        <v>apples</v>
      </c>
      <c r="D100">
        <f t="shared" ca="1" si="3"/>
        <v>2</v>
      </c>
      <c r="E100">
        <f ca="1">VLOOKUP(B100,Dish!$A$1:$C$91,3,FALSE)</f>
        <v>9</v>
      </c>
      <c r="F100" t="e">
        <f>VLOOKUP(C100,'Ingredient Confirm'!$B$1:$F$406,6,FALSE)</f>
        <v>#REF!</v>
      </c>
      <c r="G100" t="str">
        <f>VLOOKUP(C100,'Ingredient Confirm'!$B$1:$F$406,2,FALSE)</f>
        <v>package</v>
      </c>
    </row>
    <row r="101" spans="2:7" x14ac:dyDescent="0.25">
      <c r="B101">
        <f t="shared" ca="1" si="2"/>
        <v>62</v>
      </c>
      <c r="C101" t="str">
        <f>randomselection('Ingredient Confirm'!$B$2:$B$406)</f>
        <v>hash browns</v>
      </c>
      <c r="D101">
        <f t="shared" ca="1" si="3"/>
        <v>1</v>
      </c>
      <c r="E101">
        <f ca="1">VLOOKUP(B101,Dish!$A$1:$C$91,3,FALSE)</f>
        <v>4</v>
      </c>
      <c r="F101" t="e">
        <f>VLOOKUP(C101,'Ingredient Confirm'!$B$1:$F$406,6,FALSE)</f>
        <v>#REF!</v>
      </c>
      <c r="G101" t="str">
        <f>VLOOKUP(C101,'Ingredient Confirm'!$B$1:$F$406,2,FALSE)</f>
        <v>package</v>
      </c>
    </row>
    <row r="102" spans="2:7" x14ac:dyDescent="0.25">
      <c r="B102">
        <f t="shared" ca="1" si="2"/>
        <v>71</v>
      </c>
      <c r="C102" t="str">
        <f>randomselection('Ingredient Confirm'!$B$2:$B$406)</f>
        <v>poppy seeds</v>
      </c>
      <c r="D102">
        <f t="shared" ca="1" si="3"/>
        <v>1</v>
      </c>
      <c r="E102">
        <f ca="1">VLOOKUP(B102,Dish!$A$1:$C$91,3,FALSE)</f>
        <v>15</v>
      </c>
      <c r="F102" t="e">
        <f>VLOOKUP(C102,'Ingredient Confirm'!$B$1:$F$406,6,FALSE)</f>
        <v>#REF!</v>
      </c>
      <c r="G102" t="str">
        <f>VLOOKUP(C102,'Ingredient Confirm'!$B$1:$F$406,2,FALSE)</f>
        <v>can</v>
      </c>
    </row>
    <row r="103" spans="2:7" x14ac:dyDescent="0.25">
      <c r="B103">
        <f t="shared" ca="1" si="2"/>
        <v>19</v>
      </c>
      <c r="C103" t="str">
        <f>randomselection('Ingredient Confirm'!$B$2:$B$406)</f>
        <v>pasta</v>
      </c>
      <c r="D103">
        <f t="shared" ca="1" si="3"/>
        <v>2</v>
      </c>
      <c r="E103">
        <f ca="1">VLOOKUP(B103,Dish!$A$1:$C$91,3,FALSE)</f>
        <v>13</v>
      </c>
      <c r="F103" t="e">
        <f>VLOOKUP(C103,'Ingredient Confirm'!$B$1:$F$406,6,FALSE)</f>
        <v>#REF!</v>
      </c>
      <c r="G103" t="str">
        <f>VLOOKUP(C103,'Ingredient Confirm'!$B$1:$F$406,2,FALSE)</f>
        <v>can</v>
      </c>
    </row>
    <row r="104" spans="2:7" x14ac:dyDescent="0.25">
      <c r="B104">
        <f t="shared" ca="1" si="2"/>
        <v>52</v>
      </c>
      <c r="C104" t="str">
        <f>randomselection('Ingredient Confirm'!$B$2:$B$406)</f>
        <v>colby cheese</v>
      </c>
      <c r="D104">
        <f t="shared" ca="1" si="3"/>
        <v>2</v>
      </c>
      <c r="E104">
        <f ca="1">VLOOKUP(B104,Dish!$A$1:$C$91,3,FALSE)</f>
        <v>8</v>
      </c>
      <c r="F104" t="e">
        <f>VLOOKUP(C104,'Ingredient Confirm'!$B$1:$F$406,6,FALSE)</f>
        <v>#REF!</v>
      </c>
      <c r="G104" t="str">
        <f>VLOOKUP(C104,'Ingredient Confirm'!$B$1:$F$406,2,FALSE)</f>
        <v>package</v>
      </c>
    </row>
    <row r="105" spans="2:7" x14ac:dyDescent="0.25">
      <c r="B105">
        <f t="shared" ca="1" si="2"/>
        <v>26</v>
      </c>
      <c r="C105" t="str">
        <f>randomselection('Ingredient Confirm'!$B$2:$B$406)</f>
        <v>bean threads</v>
      </c>
      <c r="D105">
        <f t="shared" ca="1" si="3"/>
        <v>2</v>
      </c>
      <c r="E105">
        <f ca="1">VLOOKUP(B105,Dish!$A$1:$C$91,3,FALSE)</f>
        <v>9</v>
      </c>
      <c r="F105" t="e">
        <f>VLOOKUP(C105,'Ingredient Confirm'!$B$1:$F$406,6,FALSE)</f>
        <v>#REF!</v>
      </c>
      <c r="G105" t="str">
        <f>VLOOKUP(C105,'Ingredient Confirm'!$B$1:$F$406,2,FALSE)</f>
        <v>can</v>
      </c>
    </row>
    <row r="106" spans="2:7" x14ac:dyDescent="0.25">
      <c r="B106">
        <f t="shared" ca="1" si="2"/>
        <v>34</v>
      </c>
      <c r="C106" t="str">
        <f>randomselection('Ingredient Confirm'!$B$2:$B$406)</f>
        <v>cornmeal</v>
      </c>
      <c r="D106">
        <f t="shared" ca="1" si="3"/>
        <v>1</v>
      </c>
      <c r="E106">
        <f ca="1">VLOOKUP(B106,Dish!$A$1:$C$91,3,FALSE)</f>
        <v>12</v>
      </c>
      <c r="F106" t="e">
        <f>VLOOKUP(C106,'Ingredient Confirm'!$B$1:$F$406,6,FALSE)</f>
        <v>#REF!</v>
      </c>
      <c r="G106" t="str">
        <f>VLOOKUP(C106,'Ingredient Confirm'!$B$1:$F$406,2,FALSE)</f>
        <v>can</v>
      </c>
    </row>
    <row r="107" spans="2:7" x14ac:dyDescent="0.25">
      <c r="B107">
        <f t="shared" ca="1" si="2"/>
        <v>71</v>
      </c>
      <c r="C107" t="str">
        <f>randomselection('Ingredient Confirm'!$B$2:$B$406)</f>
        <v>coriander</v>
      </c>
      <c r="D107">
        <f t="shared" ca="1" si="3"/>
        <v>1</v>
      </c>
      <c r="E107">
        <f ca="1">VLOOKUP(B107,Dish!$A$1:$C$91,3,FALSE)</f>
        <v>15</v>
      </c>
      <c r="F107" t="e">
        <f>VLOOKUP(C107,'Ingredient Confirm'!$B$1:$F$406,6,FALSE)</f>
        <v>#REF!</v>
      </c>
      <c r="G107" t="str">
        <f>VLOOKUP(C107,'Ingredient Confirm'!$B$1:$F$406,2,FALSE)</f>
        <v>can</v>
      </c>
    </row>
    <row r="108" spans="2:7" x14ac:dyDescent="0.25">
      <c r="B108">
        <f t="shared" ca="1" si="2"/>
        <v>52</v>
      </c>
      <c r="C108" t="str">
        <f>randomselection('Ingredient Confirm'!$B$2:$B$406)</f>
        <v>pumpkin seeds</v>
      </c>
      <c r="D108">
        <f t="shared" ca="1" si="3"/>
        <v>1</v>
      </c>
      <c r="E108">
        <f ca="1">VLOOKUP(B108,Dish!$A$1:$C$91,3,FALSE)</f>
        <v>8</v>
      </c>
      <c r="F108" t="e">
        <f>VLOOKUP(C108,'Ingredient Confirm'!$B$1:$F$406,6,FALSE)</f>
        <v>#REF!</v>
      </c>
      <c r="G108" t="str">
        <f>VLOOKUP(C108,'Ingredient Confirm'!$B$1:$F$406,2,FALSE)</f>
        <v>package</v>
      </c>
    </row>
    <row r="109" spans="2:7" x14ac:dyDescent="0.25">
      <c r="B109">
        <f t="shared" ca="1" si="2"/>
        <v>30</v>
      </c>
      <c r="C109" t="str">
        <f>randomselection('Ingredient Confirm'!$B$2:$B$406)</f>
        <v>nectarines</v>
      </c>
      <c r="D109">
        <f t="shared" ca="1" si="3"/>
        <v>2</v>
      </c>
      <c r="E109">
        <f ca="1">VLOOKUP(B109,Dish!$A$1:$C$91,3,FALSE)</f>
        <v>12</v>
      </c>
      <c r="F109" t="e">
        <f>VLOOKUP(C109,'Ingredient Confirm'!$B$1:$F$406,6,FALSE)</f>
        <v>#REF!</v>
      </c>
      <c r="G109" t="str">
        <f>VLOOKUP(C109,'Ingredient Confirm'!$B$1:$F$406,2,FALSE)</f>
        <v>can</v>
      </c>
    </row>
    <row r="110" spans="2:7" x14ac:dyDescent="0.25">
      <c r="B110">
        <f t="shared" ca="1" si="2"/>
        <v>88</v>
      </c>
      <c r="C110" t="str">
        <f>randomselection('Ingredient Confirm'!$B$2:$B$406)</f>
        <v>berries</v>
      </c>
      <c r="D110">
        <f t="shared" ca="1" si="3"/>
        <v>1</v>
      </c>
      <c r="E110">
        <f ca="1">VLOOKUP(B110,Dish!$A$1:$C$91,3,FALSE)</f>
        <v>2</v>
      </c>
      <c r="F110" t="e">
        <f>VLOOKUP(C110,'Ingredient Confirm'!$B$1:$F$406,6,FALSE)</f>
        <v>#REF!</v>
      </c>
      <c r="G110" t="str">
        <f>VLOOKUP(C110,'Ingredient Confirm'!$B$1:$F$406,2,FALSE)</f>
        <v>can</v>
      </c>
    </row>
    <row r="111" spans="2:7" x14ac:dyDescent="0.25">
      <c r="B111">
        <f t="shared" ca="1" si="2"/>
        <v>26</v>
      </c>
      <c r="C111" t="str">
        <f>randomselection('Ingredient Confirm'!$B$2:$B$406)</f>
        <v>black-eyed peas</v>
      </c>
      <c r="D111">
        <f t="shared" ca="1" si="3"/>
        <v>2</v>
      </c>
      <c r="E111">
        <f ca="1">VLOOKUP(B111,Dish!$A$1:$C$91,3,FALSE)</f>
        <v>9</v>
      </c>
      <c r="F111" t="e">
        <f>VLOOKUP(C111,'Ingredient Confirm'!$B$1:$F$406,6,FALSE)</f>
        <v>#REF!</v>
      </c>
      <c r="G111" t="str">
        <f>VLOOKUP(C111,'Ingredient Confirm'!$B$1:$F$406,2,FALSE)</f>
        <v>can</v>
      </c>
    </row>
    <row r="112" spans="2:7" x14ac:dyDescent="0.25">
      <c r="B112">
        <f t="shared" ca="1" si="2"/>
        <v>28</v>
      </c>
      <c r="C112" t="str">
        <f>randomselection('Ingredient Confirm'!$B$2:$B$406)</f>
        <v>cottage cheese</v>
      </c>
      <c r="D112">
        <f t="shared" ca="1" si="3"/>
        <v>1</v>
      </c>
      <c r="E112">
        <f ca="1">VLOOKUP(B112,Dish!$A$1:$C$91,3,FALSE)</f>
        <v>10</v>
      </c>
      <c r="F112" t="e">
        <f>VLOOKUP(C112,'Ingredient Confirm'!$B$1:$F$406,6,FALSE)</f>
        <v>#REF!</v>
      </c>
      <c r="G112" t="str">
        <f>VLOOKUP(C112,'Ingredient Confirm'!$B$1:$F$406,2,FALSE)</f>
        <v>package</v>
      </c>
    </row>
    <row r="113" spans="2:7" x14ac:dyDescent="0.25">
      <c r="B113">
        <f t="shared" ca="1" si="2"/>
        <v>45</v>
      </c>
      <c r="C113" t="str">
        <f>randomselection('Ingredient Confirm'!$B$2:$B$406)</f>
        <v>provolone</v>
      </c>
      <c r="D113">
        <f t="shared" ca="1" si="3"/>
        <v>1</v>
      </c>
      <c r="E113">
        <f ca="1">VLOOKUP(B113,Dish!$A$1:$C$91,3,FALSE)</f>
        <v>13</v>
      </c>
      <c r="F113" t="e">
        <f>VLOOKUP(C113,'Ingredient Confirm'!$B$1:$F$406,6,FALSE)</f>
        <v>#REF!</v>
      </c>
      <c r="G113" t="str">
        <f>VLOOKUP(C113,'Ingredient Confirm'!$B$1:$F$406,2,FALSE)</f>
        <v>package</v>
      </c>
    </row>
    <row r="114" spans="2:7" x14ac:dyDescent="0.25">
      <c r="B114">
        <f t="shared" ca="1" si="2"/>
        <v>25</v>
      </c>
      <c r="C114" t="str">
        <f>randomselection('Ingredient Confirm'!$B$2:$B$406)</f>
        <v>hamburger</v>
      </c>
      <c r="D114">
        <f t="shared" ca="1" si="3"/>
        <v>2</v>
      </c>
      <c r="E114">
        <f ca="1">VLOOKUP(B114,Dish!$A$1:$C$91,3,FALSE)</f>
        <v>5</v>
      </c>
      <c r="F114" t="e">
        <f>VLOOKUP(C114,'Ingredient Confirm'!$B$1:$F$406,6,FALSE)</f>
        <v>#REF!</v>
      </c>
      <c r="G114" t="str">
        <f>VLOOKUP(C114,'Ingredient Confirm'!$B$1:$F$406,2,FALSE)</f>
        <v>piece</v>
      </c>
    </row>
    <row r="115" spans="2:7" x14ac:dyDescent="0.25">
      <c r="B115">
        <f t="shared" ca="1" si="2"/>
        <v>64</v>
      </c>
      <c r="C115" t="str">
        <f>randomselection('Ingredient Confirm'!$B$2:$B$406)</f>
        <v>broccoli</v>
      </c>
      <c r="D115">
        <f t="shared" ca="1" si="3"/>
        <v>1</v>
      </c>
      <c r="E115">
        <f ca="1">VLOOKUP(B115,Dish!$A$1:$C$91,3,FALSE)</f>
        <v>14</v>
      </c>
      <c r="F115" t="e">
        <f>VLOOKUP(C115,'Ingredient Confirm'!$B$1:$F$406,6,FALSE)</f>
        <v>#REF!</v>
      </c>
      <c r="G115" t="str">
        <f>VLOOKUP(C115,'Ingredient Confirm'!$B$1:$F$406,2,FALSE)</f>
        <v>package</v>
      </c>
    </row>
    <row r="116" spans="2:7" x14ac:dyDescent="0.25">
      <c r="B116">
        <f t="shared" ca="1" si="2"/>
        <v>16</v>
      </c>
      <c r="C116" t="str">
        <f>randomselection('Ingredient Confirm'!$B$2:$B$406)</f>
        <v>liver</v>
      </c>
      <c r="D116">
        <f t="shared" ca="1" si="3"/>
        <v>2</v>
      </c>
      <c r="E116">
        <f ca="1">VLOOKUP(B116,Dish!$A$1:$C$91,3,FALSE)</f>
        <v>9</v>
      </c>
      <c r="F116" t="e">
        <f>VLOOKUP(C116,'Ingredient Confirm'!$B$1:$F$406,6,FALSE)</f>
        <v>#REF!</v>
      </c>
      <c r="G116" t="str">
        <f>VLOOKUP(C116,'Ingredient Confirm'!$B$1:$F$406,2,FALSE)</f>
        <v>piece</v>
      </c>
    </row>
    <row r="117" spans="2:7" x14ac:dyDescent="0.25">
      <c r="B117">
        <f t="shared" ca="1" si="2"/>
        <v>40</v>
      </c>
      <c r="C117" t="str">
        <f>randomselection('Ingredient Confirm'!$B$2:$B$406)</f>
        <v>flax seed</v>
      </c>
      <c r="D117">
        <f t="shared" ca="1" si="3"/>
        <v>1</v>
      </c>
      <c r="E117">
        <f ca="1">VLOOKUP(B117,Dish!$A$1:$C$91,3,FALSE)</f>
        <v>9</v>
      </c>
      <c r="F117" t="e">
        <f>VLOOKUP(C117,'Ingredient Confirm'!$B$1:$F$406,6,FALSE)</f>
        <v>#REF!</v>
      </c>
      <c r="G117" t="str">
        <f>VLOOKUP(C117,'Ingredient Confirm'!$B$1:$F$406,2,FALSE)</f>
        <v>can</v>
      </c>
    </row>
    <row r="118" spans="2:7" x14ac:dyDescent="0.25">
      <c r="B118">
        <f t="shared" ca="1" si="2"/>
        <v>18</v>
      </c>
      <c r="C118" t="str">
        <f>randomselection('Ingredient Confirm'!$B$2:$B$406)</f>
        <v>ale</v>
      </c>
      <c r="D118">
        <f t="shared" ca="1" si="3"/>
        <v>2</v>
      </c>
      <c r="E118">
        <f ca="1">VLOOKUP(B118,Dish!$A$1:$C$91,3,FALSE)</f>
        <v>12</v>
      </c>
      <c r="F118" t="e">
        <f>VLOOKUP(C118,'Ingredient Confirm'!$B$1:$F$406,6,FALSE)</f>
        <v>#REF!</v>
      </c>
      <c r="G118" t="str">
        <f>VLOOKUP(C118,'Ingredient Confirm'!$B$1:$F$406,2,FALSE)</f>
        <v>package</v>
      </c>
    </row>
    <row r="119" spans="2:7" x14ac:dyDescent="0.25">
      <c r="B119">
        <f t="shared" ca="1" si="2"/>
        <v>89</v>
      </c>
      <c r="C119" t="str">
        <f>randomselection('Ingredient Confirm'!$B$2:$B$406)</f>
        <v>spearmint</v>
      </c>
      <c r="D119">
        <f t="shared" ca="1" si="3"/>
        <v>2</v>
      </c>
      <c r="E119">
        <f ca="1">VLOOKUP(B119,Dish!$A$1:$C$91,3,FALSE)</f>
        <v>5</v>
      </c>
      <c r="F119" t="e">
        <f>VLOOKUP(C119,'Ingredient Confirm'!$B$1:$F$406,6,FALSE)</f>
        <v>#REF!</v>
      </c>
      <c r="G119" t="str">
        <f>VLOOKUP(C119,'Ingredient Confirm'!$B$1:$F$406,2,FALSE)</f>
        <v>package</v>
      </c>
    </row>
    <row r="120" spans="2:7" x14ac:dyDescent="0.25">
      <c r="B120">
        <f t="shared" ca="1" si="2"/>
        <v>34</v>
      </c>
      <c r="C120" t="str">
        <f>randomselection('Ingredient Confirm'!$B$2:$B$406)</f>
        <v>salmon</v>
      </c>
      <c r="D120">
        <f t="shared" ca="1" si="3"/>
        <v>1</v>
      </c>
      <c r="E120">
        <f ca="1">VLOOKUP(B120,Dish!$A$1:$C$91,3,FALSE)</f>
        <v>12</v>
      </c>
      <c r="F120" t="e">
        <f>VLOOKUP(C120,'Ingredient Confirm'!$B$1:$F$406,6,FALSE)</f>
        <v>#REF!</v>
      </c>
      <c r="G120" t="str">
        <f>VLOOKUP(C120,'Ingredient Confirm'!$B$1:$F$406,2,FALSE)</f>
        <v>piece</v>
      </c>
    </row>
    <row r="121" spans="2:7" x14ac:dyDescent="0.25">
      <c r="B121">
        <f t="shared" ca="1" si="2"/>
        <v>67</v>
      </c>
      <c r="C121" t="str">
        <f>randomselection('Ingredient Confirm'!$B$2:$B$406)</f>
        <v>hamburger</v>
      </c>
      <c r="D121">
        <f t="shared" ca="1" si="3"/>
        <v>1</v>
      </c>
      <c r="E121">
        <f ca="1">VLOOKUP(B121,Dish!$A$1:$C$91,3,FALSE)</f>
        <v>4</v>
      </c>
      <c r="F121" t="e">
        <f>VLOOKUP(C121,'Ingredient Confirm'!$B$1:$F$406,6,FALSE)</f>
        <v>#REF!</v>
      </c>
      <c r="G121" t="str">
        <f>VLOOKUP(C121,'Ingredient Confirm'!$B$1:$F$406,2,FALSE)</f>
        <v>piece</v>
      </c>
    </row>
    <row r="122" spans="2:7" x14ac:dyDescent="0.25">
      <c r="B122">
        <f t="shared" ca="1" si="2"/>
        <v>90</v>
      </c>
      <c r="C122" t="str">
        <f>randomselection('Ingredient Confirm'!$B$2:$B$406)</f>
        <v>coconut oil</v>
      </c>
      <c r="D122">
        <f t="shared" ca="1" si="3"/>
        <v>2</v>
      </c>
      <c r="E122">
        <f ca="1">VLOOKUP(B122,Dish!$A$1:$C$91,3,FALSE)</f>
        <v>3</v>
      </c>
      <c r="F122" t="e">
        <f>VLOOKUP(C122,'Ingredient Confirm'!$B$1:$F$406,6,FALSE)</f>
        <v>#REF!</v>
      </c>
      <c r="G122" t="str">
        <f>VLOOKUP(C122,'Ingredient Confirm'!$B$1:$F$406,2,FALSE)</f>
        <v>bottle</v>
      </c>
    </row>
    <row r="123" spans="2:7" x14ac:dyDescent="0.25">
      <c r="B123">
        <f t="shared" ca="1" si="2"/>
        <v>74</v>
      </c>
      <c r="C123" t="str">
        <f>randomselection('Ingredient Confirm'!$B$2:$B$406)</f>
        <v>steak</v>
      </c>
      <c r="D123">
        <f t="shared" ca="1" si="3"/>
        <v>2</v>
      </c>
      <c r="E123">
        <f ca="1">VLOOKUP(B123,Dish!$A$1:$C$91,3,FALSE)</f>
        <v>14</v>
      </c>
      <c r="F123" t="e">
        <f>VLOOKUP(C123,'Ingredient Confirm'!$B$1:$F$406,6,FALSE)</f>
        <v>#REF!</v>
      </c>
      <c r="G123" t="str">
        <f>VLOOKUP(C123,'Ingredient Confirm'!$B$1:$F$406,2,FALSE)</f>
        <v>piece</v>
      </c>
    </row>
    <row r="124" spans="2:7" x14ac:dyDescent="0.25">
      <c r="B124">
        <f t="shared" ca="1" si="2"/>
        <v>16</v>
      </c>
      <c r="C124" t="str">
        <f>randomselection('Ingredient Confirm'!$B$2:$B$406)</f>
        <v>ale</v>
      </c>
      <c r="D124">
        <f t="shared" ca="1" si="3"/>
        <v>1</v>
      </c>
      <c r="E124">
        <f ca="1">VLOOKUP(B124,Dish!$A$1:$C$91,3,FALSE)</f>
        <v>9</v>
      </c>
      <c r="F124" t="e">
        <f>VLOOKUP(C124,'Ingredient Confirm'!$B$1:$F$406,6,FALSE)</f>
        <v>#REF!</v>
      </c>
      <c r="G124" t="str">
        <f>VLOOKUP(C124,'Ingredient Confirm'!$B$1:$F$406,2,FALSE)</f>
        <v>package</v>
      </c>
    </row>
    <row r="125" spans="2:7" x14ac:dyDescent="0.25">
      <c r="B125">
        <f t="shared" ca="1" si="2"/>
        <v>41</v>
      </c>
      <c r="C125" t="str">
        <f>randomselection('Ingredient Confirm'!$B$2:$B$406)</f>
        <v>cooking wine</v>
      </c>
      <c r="D125">
        <f t="shared" ca="1" si="3"/>
        <v>2</v>
      </c>
      <c r="E125">
        <f ca="1">VLOOKUP(B125,Dish!$A$1:$C$91,3,FALSE)</f>
        <v>6</v>
      </c>
      <c r="F125" t="e">
        <f>VLOOKUP(C125,'Ingredient Confirm'!$B$1:$F$406,6,FALSE)</f>
        <v>#REF!</v>
      </c>
      <c r="G125" t="str">
        <f>VLOOKUP(C125,'Ingredient Confirm'!$B$1:$F$406,2,FALSE)</f>
        <v>can</v>
      </c>
    </row>
    <row r="126" spans="2:7" x14ac:dyDescent="0.25">
      <c r="B126">
        <f t="shared" ca="1" si="2"/>
        <v>29</v>
      </c>
      <c r="C126" t="str">
        <f>randomselection('Ingredient Confirm'!$B$2:$B$406)</f>
        <v>liver</v>
      </c>
      <c r="D126">
        <f t="shared" ca="1" si="3"/>
        <v>2</v>
      </c>
      <c r="E126">
        <f ca="1">VLOOKUP(B126,Dish!$A$1:$C$91,3,FALSE)</f>
        <v>9</v>
      </c>
      <c r="F126" t="e">
        <f>VLOOKUP(C126,'Ingredient Confirm'!$B$1:$F$406,6,FALSE)</f>
        <v>#REF!</v>
      </c>
      <c r="G126" t="str">
        <f>VLOOKUP(C126,'Ingredient Confirm'!$B$1:$F$406,2,FALSE)</f>
        <v>piece</v>
      </c>
    </row>
    <row r="127" spans="2:7" x14ac:dyDescent="0.25">
      <c r="B127">
        <f t="shared" ca="1" si="2"/>
        <v>51</v>
      </c>
      <c r="C127" t="str">
        <f>randomselection('Ingredient Confirm'!$B$2:$B$406)</f>
        <v>beets</v>
      </c>
      <c r="D127">
        <f t="shared" ca="1" si="3"/>
        <v>2</v>
      </c>
      <c r="E127">
        <f ca="1">VLOOKUP(B127,Dish!$A$1:$C$91,3,FALSE)</f>
        <v>15</v>
      </c>
      <c r="F127" t="e">
        <f>VLOOKUP(C127,'Ingredient Confirm'!$B$1:$F$406,6,FALSE)</f>
        <v>#REF!</v>
      </c>
      <c r="G127" t="str">
        <f>VLOOKUP(C127,'Ingredient Confirm'!$B$1:$F$406,2,FALSE)</f>
        <v>can</v>
      </c>
    </row>
    <row r="128" spans="2:7" x14ac:dyDescent="0.25">
      <c r="B128">
        <f t="shared" ca="1" si="2"/>
        <v>61</v>
      </c>
      <c r="C128" t="str">
        <f>randomselection('Ingredient Confirm'!$B$2:$B$406)</f>
        <v>rose water</v>
      </c>
      <c r="D128">
        <f t="shared" ca="1" si="3"/>
        <v>2</v>
      </c>
      <c r="E128">
        <f ca="1">VLOOKUP(B128,Dish!$A$1:$C$91,3,FALSE)</f>
        <v>2</v>
      </c>
      <c r="F128" t="e">
        <f>VLOOKUP(C128,'Ingredient Confirm'!$B$1:$F$406,6,FALSE)</f>
        <v>#REF!</v>
      </c>
      <c r="G128" t="str">
        <f>VLOOKUP(C128,'Ingredient Confirm'!$B$1:$F$406,2,FALSE)</f>
        <v>bottle</v>
      </c>
    </row>
    <row r="129" spans="2:7" x14ac:dyDescent="0.25">
      <c r="B129">
        <f t="shared" ca="1" si="2"/>
        <v>91</v>
      </c>
      <c r="C129" t="str">
        <f>randomselection('Ingredient Confirm'!$B$2:$B$406)</f>
        <v>grouper</v>
      </c>
      <c r="D129">
        <f t="shared" ca="1" si="3"/>
        <v>2</v>
      </c>
      <c r="E129">
        <f ca="1">VLOOKUP(B129,Dish!$A$1:$C$91,3,FALSE)</f>
        <v>6</v>
      </c>
      <c r="F129" t="e">
        <f>VLOOKUP(C129,'Ingredient Confirm'!$B$1:$F$406,6,FALSE)</f>
        <v>#REF!</v>
      </c>
      <c r="G129" t="str">
        <f>VLOOKUP(C129,'Ingredient Confirm'!$B$1:$F$406,2,FALSE)</f>
        <v>piece</v>
      </c>
    </row>
    <row r="130" spans="2:7" x14ac:dyDescent="0.25">
      <c r="B130">
        <f t="shared" ca="1" si="2"/>
        <v>64</v>
      </c>
      <c r="C130" t="str">
        <f>randomselection('Ingredient Confirm'!$B$2:$B$406)</f>
        <v>ale</v>
      </c>
      <c r="D130">
        <f t="shared" ca="1" si="3"/>
        <v>1</v>
      </c>
      <c r="E130">
        <f ca="1">VLOOKUP(B130,Dish!$A$1:$C$91,3,FALSE)</f>
        <v>14</v>
      </c>
      <c r="F130" t="e">
        <f>VLOOKUP(C130,'Ingredient Confirm'!$B$1:$F$406,6,FALSE)</f>
        <v>#REF!</v>
      </c>
      <c r="G130" t="str">
        <f>VLOOKUP(C130,'Ingredient Confirm'!$B$1:$F$406,2,FALSE)</f>
        <v>package</v>
      </c>
    </row>
    <row r="131" spans="2:7" x14ac:dyDescent="0.25">
      <c r="B131">
        <f t="shared" ca="1" si="2"/>
        <v>48</v>
      </c>
      <c r="C131" t="str">
        <f>randomselection('Ingredient Confirm'!$B$2:$B$406)</f>
        <v>fennel</v>
      </c>
      <c r="D131">
        <f t="shared" ca="1" si="3"/>
        <v>2</v>
      </c>
      <c r="E131">
        <f ca="1">VLOOKUP(B131,Dish!$A$1:$C$91,3,FALSE)</f>
        <v>4</v>
      </c>
      <c r="F131" t="e">
        <f>VLOOKUP(C131,'Ingredient Confirm'!$B$1:$F$406,6,FALSE)</f>
        <v>#REF!</v>
      </c>
      <c r="G131" t="str">
        <f>VLOOKUP(C131,'Ingredient Confirm'!$B$1:$F$406,2,FALSE)</f>
        <v>can</v>
      </c>
    </row>
    <row r="132" spans="2:7" x14ac:dyDescent="0.25">
      <c r="B132">
        <f t="shared" ref="B132:B158" ca="1" si="4">RANDBETWEEN(7,96)</f>
        <v>60</v>
      </c>
      <c r="C132" t="str">
        <f>randomselection('Ingredient Confirm'!$B$2:$B$406)</f>
        <v>cream cheese</v>
      </c>
      <c r="D132">
        <f t="shared" ref="D132:D158" ca="1" si="5">RANDBETWEEN(1,2)</f>
        <v>1</v>
      </c>
      <c r="E132">
        <f ca="1">VLOOKUP(B132,Dish!$A$1:$C$91,3,FALSE)</f>
        <v>5</v>
      </c>
      <c r="F132" t="e">
        <f>VLOOKUP(C132,'Ingredient Confirm'!$B$1:$F$406,6,FALSE)</f>
        <v>#REF!</v>
      </c>
      <c r="G132" t="str">
        <f>VLOOKUP(C132,'Ingredient Confirm'!$B$1:$F$406,2,FALSE)</f>
        <v>package</v>
      </c>
    </row>
    <row r="133" spans="2:7" x14ac:dyDescent="0.25">
      <c r="B133">
        <f t="shared" ca="1" si="4"/>
        <v>27</v>
      </c>
      <c r="C133" t="str">
        <f>randomselection('Ingredient Confirm'!$B$2:$B$406)</f>
        <v>berries</v>
      </c>
      <c r="D133">
        <f t="shared" ca="1" si="5"/>
        <v>2</v>
      </c>
      <c r="E133">
        <f ca="1">VLOOKUP(B133,Dish!$A$1:$C$91,3,FALSE)</f>
        <v>7</v>
      </c>
      <c r="F133" t="e">
        <f>VLOOKUP(C133,'Ingredient Confirm'!$B$1:$F$406,6,FALSE)</f>
        <v>#REF!</v>
      </c>
      <c r="G133" t="str">
        <f>VLOOKUP(C133,'Ingredient Confirm'!$B$1:$F$406,2,FALSE)</f>
        <v>can</v>
      </c>
    </row>
    <row r="134" spans="2:7" x14ac:dyDescent="0.25">
      <c r="B134">
        <f t="shared" ca="1" si="4"/>
        <v>16</v>
      </c>
      <c r="C134" t="str">
        <f>randomselection('Ingredient Confirm'!$B$2:$B$406)</f>
        <v>peaches</v>
      </c>
      <c r="D134">
        <f t="shared" ca="1" si="5"/>
        <v>1</v>
      </c>
      <c r="E134">
        <f ca="1">VLOOKUP(B134,Dish!$A$1:$C$91,3,FALSE)</f>
        <v>9</v>
      </c>
      <c r="F134" t="e">
        <f>VLOOKUP(C134,'Ingredient Confirm'!$B$1:$F$406,6,FALSE)</f>
        <v>#REF!</v>
      </c>
      <c r="G134" t="str">
        <f>VLOOKUP(C134,'Ingredient Confirm'!$B$1:$F$406,2,FALSE)</f>
        <v>can</v>
      </c>
    </row>
    <row r="135" spans="2:7" x14ac:dyDescent="0.25">
      <c r="B135">
        <f t="shared" ca="1" si="4"/>
        <v>10</v>
      </c>
      <c r="C135" t="str">
        <f>randomselection('Ingredient Confirm'!$B$2:$B$406)</f>
        <v>coriander</v>
      </c>
      <c r="D135">
        <f t="shared" ca="1" si="5"/>
        <v>1</v>
      </c>
      <c r="E135">
        <f ca="1">VLOOKUP(B135,Dish!$A$1:$C$91,3,FALSE)</f>
        <v>8</v>
      </c>
      <c r="F135" t="e">
        <f>VLOOKUP(C135,'Ingredient Confirm'!$B$1:$F$406,6,FALSE)</f>
        <v>#REF!</v>
      </c>
      <c r="G135" t="str">
        <f>VLOOKUP(C135,'Ingredient Confirm'!$B$1:$F$406,2,FALSE)</f>
        <v>can</v>
      </c>
    </row>
    <row r="136" spans="2:7" x14ac:dyDescent="0.25">
      <c r="B136">
        <f t="shared" ca="1" si="4"/>
        <v>94</v>
      </c>
      <c r="C136" t="str">
        <f>randomselection('Ingredient Confirm'!$B$2:$B$406)</f>
        <v>cream cheese</v>
      </c>
      <c r="D136">
        <f t="shared" ca="1" si="5"/>
        <v>2</v>
      </c>
      <c r="E136">
        <f ca="1">VLOOKUP(B136,Dish!$A$1:$C$91,3,FALSE)</f>
        <v>12</v>
      </c>
      <c r="F136" t="e">
        <f>VLOOKUP(C136,'Ingredient Confirm'!$B$1:$F$406,6,FALSE)</f>
        <v>#REF!</v>
      </c>
      <c r="G136" t="str">
        <f>VLOOKUP(C136,'Ingredient Confirm'!$B$1:$F$406,2,FALSE)</f>
        <v>package</v>
      </c>
    </row>
    <row r="137" spans="2:7" x14ac:dyDescent="0.25">
      <c r="B137">
        <f t="shared" ca="1" si="4"/>
        <v>62</v>
      </c>
      <c r="C137" t="str">
        <f>randomselection('Ingredient Confirm'!$B$2:$B$406)</f>
        <v>cantaloupes</v>
      </c>
      <c r="D137">
        <f t="shared" ca="1" si="5"/>
        <v>1</v>
      </c>
      <c r="E137">
        <f ca="1">VLOOKUP(B137,Dish!$A$1:$C$91,3,FALSE)</f>
        <v>4</v>
      </c>
      <c r="F137" t="e">
        <f>VLOOKUP(C137,'Ingredient Confirm'!$B$1:$F$406,6,FALSE)</f>
        <v>#REF!</v>
      </c>
      <c r="G137" t="str">
        <f>VLOOKUP(C137,'Ingredient Confirm'!$B$1:$F$406,2,FALSE)</f>
        <v>piece</v>
      </c>
    </row>
    <row r="138" spans="2:7" x14ac:dyDescent="0.25">
      <c r="B138">
        <f t="shared" ca="1" si="4"/>
        <v>82</v>
      </c>
      <c r="C138" t="str">
        <f>randomselection('Ingredient Confirm'!$B$2:$B$406)</f>
        <v>cream of tartar</v>
      </c>
      <c r="D138">
        <f t="shared" ca="1" si="5"/>
        <v>1</v>
      </c>
      <c r="E138">
        <f ca="1">VLOOKUP(B138,Dish!$A$1:$C$91,3,FALSE)</f>
        <v>12</v>
      </c>
      <c r="F138" t="e">
        <f>VLOOKUP(C138,'Ingredient Confirm'!$B$1:$F$406,6,FALSE)</f>
        <v>#REF!</v>
      </c>
      <c r="G138" t="str">
        <f>VLOOKUP(C138,'Ingredient Confirm'!$B$1:$F$406,2,FALSE)</f>
        <v>can</v>
      </c>
    </row>
    <row r="139" spans="2:7" x14ac:dyDescent="0.25">
      <c r="B139">
        <f t="shared" ca="1" si="4"/>
        <v>26</v>
      </c>
      <c r="C139" t="str">
        <f>randomselection('Ingredient Confirm'!$B$2:$B$406)</f>
        <v>beets</v>
      </c>
      <c r="D139">
        <f t="shared" ca="1" si="5"/>
        <v>2</v>
      </c>
      <c r="E139">
        <f ca="1">VLOOKUP(B139,Dish!$A$1:$C$91,3,FALSE)</f>
        <v>9</v>
      </c>
      <c r="F139" t="e">
        <f>VLOOKUP(C139,'Ingredient Confirm'!$B$1:$F$406,6,FALSE)</f>
        <v>#REF!</v>
      </c>
      <c r="G139" t="str">
        <f>VLOOKUP(C139,'Ingredient Confirm'!$B$1:$F$406,2,FALSE)</f>
        <v>can</v>
      </c>
    </row>
    <row r="140" spans="2:7" x14ac:dyDescent="0.25">
      <c r="B140">
        <f t="shared" ca="1" si="4"/>
        <v>57</v>
      </c>
      <c r="C140" t="str">
        <f>randomselection('Ingredient Confirm'!$B$2:$B$406)</f>
        <v>grouper</v>
      </c>
      <c r="D140">
        <f t="shared" ca="1" si="5"/>
        <v>1</v>
      </c>
      <c r="E140">
        <f ca="1">VLOOKUP(B140,Dish!$A$1:$C$91,3,FALSE)</f>
        <v>8</v>
      </c>
      <c r="F140" t="e">
        <f>VLOOKUP(C140,'Ingredient Confirm'!$B$1:$F$406,6,FALSE)</f>
        <v>#REF!</v>
      </c>
      <c r="G140" t="str">
        <f>VLOOKUP(C140,'Ingredient Confirm'!$B$1:$F$406,2,FALSE)</f>
        <v>piece</v>
      </c>
    </row>
    <row r="141" spans="2:7" x14ac:dyDescent="0.25">
      <c r="B141">
        <f t="shared" ca="1" si="4"/>
        <v>15</v>
      </c>
      <c r="C141" t="str">
        <f>randomselection('Ingredient Confirm'!$B$2:$B$406)</f>
        <v>baking soda</v>
      </c>
      <c r="D141">
        <f t="shared" ca="1" si="5"/>
        <v>2</v>
      </c>
      <c r="E141">
        <f ca="1">VLOOKUP(B141,Dish!$A$1:$C$91,3,FALSE)</f>
        <v>12</v>
      </c>
      <c r="F141" t="e">
        <f>VLOOKUP(C141,'Ingredient Confirm'!$B$1:$F$406,6,FALSE)</f>
        <v>#REF!</v>
      </c>
      <c r="G141" t="str">
        <f>VLOOKUP(C141,'Ingredient Confirm'!$B$1:$F$406,2,FALSE)</f>
        <v>can</v>
      </c>
    </row>
    <row r="142" spans="2:7" x14ac:dyDescent="0.25">
      <c r="B142">
        <f t="shared" ca="1" si="4"/>
        <v>16</v>
      </c>
      <c r="C142" t="str">
        <f>randomselection('Ingredient Confirm'!$B$2:$B$406)</f>
        <v>feta cheese</v>
      </c>
      <c r="D142">
        <f t="shared" ca="1" si="5"/>
        <v>2</v>
      </c>
      <c r="E142">
        <f ca="1">VLOOKUP(B142,Dish!$A$1:$C$91,3,FALSE)</f>
        <v>9</v>
      </c>
      <c r="F142" t="e">
        <f>VLOOKUP(C142,'Ingredient Confirm'!$B$1:$F$406,6,FALSE)</f>
        <v>#REF!</v>
      </c>
      <c r="G142" t="str">
        <f>VLOOKUP(C142,'Ingredient Confirm'!$B$1:$F$406,2,FALSE)</f>
        <v>package</v>
      </c>
    </row>
    <row r="143" spans="2:7" x14ac:dyDescent="0.25">
      <c r="B143">
        <f t="shared" ca="1" si="4"/>
        <v>75</v>
      </c>
      <c r="C143" t="str">
        <f>randomselection('Ingredient Confirm'!$B$2:$B$406)</f>
        <v>cream cheese</v>
      </c>
      <c r="D143">
        <f t="shared" ca="1" si="5"/>
        <v>2</v>
      </c>
      <c r="E143">
        <f ca="1">VLOOKUP(B143,Dish!$A$1:$C$91,3,FALSE)</f>
        <v>5</v>
      </c>
      <c r="F143" t="e">
        <f>VLOOKUP(C143,'Ingredient Confirm'!$B$1:$F$406,6,FALSE)</f>
        <v>#REF!</v>
      </c>
      <c r="G143" t="str">
        <f>VLOOKUP(C143,'Ingredient Confirm'!$B$1:$F$406,2,FALSE)</f>
        <v>package</v>
      </c>
    </row>
    <row r="144" spans="2:7" x14ac:dyDescent="0.25">
      <c r="B144">
        <f t="shared" ca="1" si="4"/>
        <v>32</v>
      </c>
      <c r="C144" t="str">
        <f>randomselection('Ingredient Confirm'!$B$2:$B$406)</f>
        <v>cream cheese</v>
      </c>
      <c r="D144">
        <f t="shared" ca="1" si="5"/>
        <v>1</v>
      </c>
      <c r="E144">
        <f ca="1">VLOOKUP(B144,Dish!$A$1:$C$91,3,FALSE)</f>
        <v>14</v>
      </c>
      <c r="F144" t="e">
        <f>VLOOKUP(C144,'Ingredient Confirm'!$B$1:$F$406,6,FALSE)</f>
        <v>#REF!</v>
      </c>
      <c r="G144" t="str">
        <f>VLOOKUP(C144,'Ingredient Confirm'!$B$1:$F$406,2,FALSE)</f>
        <v>package</v>
      </c>
    </row>
    <row r="145" spans="2:7" x14ac:dyDescent="0.25">
      <c r="B145">
        <f t="shared" ca="1" si="4"/>
        <v>10</v>
      </c>
      <c r="C145" t="str">
        <f>randomselection('Ingredient Confirm'!$B$2:$B$406)</f>
        <v>cream of tartar</v>
      </c>
      <c r="D145">
        <f t="shared" ca="1" si="5"/>
        <v>1</v>
      </c>
      <c r="E145">
        <f ca="1">VLOOKUP(B145,Dish!$A$1:$C$91,3,FALSE)</f>
        <v>8</v>
      </c>
      <c r="F145" t="e">
        <f>VLOOKUP(C145,'Ingredient Confirm'!$B$1:$F$406,6,FALSE)</f>
        <v>#REF!</v>
      </c>
      <c r="G145" t="str">
        <f>VLOOKUP(C145,'Ingredient Confirm'!$B$1:$F$406,2,FALSE)</f>
        <v>can</v>
      </c>
    </row>
    <row r="146" spans="2:7" x14ac:dyDescent="0.25">
      <c r="B146">
        <f t="shared" ca="1" si="4"/>
        <v>90</v>
      </c>
      <c r="C146" t="str">
        <f>randomselection('Ingredient Confirm'!$B$2:$B$406)</f>
        <v>mushrooms</v>
      </c>
      <c r="D146">
        <f t="shared" ca="1" si="5"/>
        <v>2</v>
      </c>
      <c r="E146">
        <f ca="1">VLOOKUP(B146,Dish!$A$1:$C$91,3,FALSE)</f>
        <v>3</v>
      </c>
      <c r="F146" t="e">
        <f>VLOOKUP(C146,'Ingredient Confirm'!$B$1:$F$406,6,FALSE)</f>
        <v>#REF!</v>
      </c>
      <c r="G146" t="str">
        <f>VLOOKUP(C146,'Ingredient Confirm'!$B$1:$F$406,2,FALSE)</f>
        <v>can</v>
      </c>
    </row>
    <row r="147" spans="2:7" x14ac:dyDescent="0.25">
      <c r="B147">
        <f t="shared" ca="1" si="4"/>
        <v>55</v>
      </c>
      <c r="C147" t="str">
        <f>randomselection('Ingredient Confirm'!$B$2:$B$406)</f>
        <v>cream of tartar</v>
      </c>
      <c r="D147">
        <f t="shared" ca="1" si="5"/>
        <v>1</v>
      </c>
      <c r="E147">
        <f ca="1">VLOOKUP(B147,Dish!$A$1:$C$91,3,FALSE)</f>
        <v>5</v>
      </c>
      <c r="F147" t="e">
        <f>VLOOKUP(C147,'Ingredient Confirm'!$B$1:$F$406,6,FALSE)</f>
        <v>#REF!</v>
      </c>
      <c r="G147" t="str">
        <f>VLOOKUP(C147,'Ingredient Confirm'!$B$1:$F$406,2,FALSE)</f>
        <v>can</v>
      </c>
    </row>
    <row r="148" spans="2:7" x14ac:dyDescent="0.25">
      <c r="B148">
        <f t="shared" ca="1" si="4"/>
        <v>41</v>
      </c>
      <c r="C148" t="str">
        <f>randomselection('Ingredient Confirm'!$B$2:$B$406)</f>
        <v>garlic</v>
      </c>
      <c r="D148">
        <f t="shared" ca="1" si="5"/>
        <v>2</v>
      </c>
      <c r="E148">
        <f ca="1">VLOOKUP(B148,Dish!$A$1:$C$91,3,FALSE)</f>
        <v>6</v>
      </c>
      <c r="F148" t="e">
        <f>VLOOKUP(C148,'Ingredient Confirm'!$B$1:$F$406,6,FALSE)</f>
        <v>#REF!</v>
      </c>
      <c r="G148" t="str">
        <f>VLOOKUP(C148,'Ingredient Confirm'!$B$1:$F$406,2,FALSE)</f>
        <v>piece</v>
      </c>
    </row>
    <row r="149" spans="2:7" x14ac:dyDescent="0.25">
      <c r="B149">
        <f t="shared" ca="1" si="4"/>
        <v>93</v>
      </c>
      <c r="C149" t="str">
        <f>randomselection('Ingredient Confirm'!$B$2:$B$406)</f>
        <v>spearmint</v>
      </c>
      <c r="D149">
        <f t="shared" ca="1" si="5"/>
        <v>2</v>
      </c>
      <c r="E149">
        <f ca="1">VLOOKUP(B149,Dish!$A$1:$C$91,3,FALSE)</f>
        <v>7</v>
      </c>
      <c r="F149" t="e">
        <f>VLOOKUP(C149,'Ingredient Confirm'!$B$1:$F$406,6,FALSE)</f>
        <v>#REF!</v>
      </c>
      <c r="G149" t="str">
        <f>VLOOKUP(C149,'Ingredient Confirm'!$B$1:$F$406,2,FALSE)</f>
        <v>package</v>
      </c>
    </row>
    <row r="150" spans="2:7" x14ac:dyDescent="0.25">
      <c r="B150">
        <f t="shared" ca="1" si="4"/>
        <v>67</v>
      </c>
      <c r="C150" t="str">
        <f>randomselection('Ingredient Confirm'!$B$2:$B$406)</f>
        <v>jicama</v>
      </c>
      <c r="D150">
        <f t="shared" ca="1" si="5"/>
        <v>2</v>
      </c>
      <c r="E150">
        <f ca="1">VLOOKUP(B150,Dish!$A$1:$C$91,3,FALSE)</f>
        <v>4</v>
      </c>
      <c r="F150" t="e">
        <f>VLOOKUP(C150,'Ingredient Confirm'!$B$1:$F$406,6,FALSE)</f>
        <v>#REF!</v>
      </c>
      <c r="G150" t="str">
        <f>VLOOKUP(C150,'Ingredient Confirm'!$B$1:$F$406,2,FALSE)</f>
        <v>package</v>
      </c>
    </row>
    <row r="151" spans="2:7" x14ac:dyDescent="0.25">
      <c r="B151">
        <f t="shared" ca="1" si="4"/>
        <v>66</v>
      </c>
      <c r="C151" t="str">
        <f>randomselection('Ingredient Confirm'!$B$2:$B$406)</f>
        <v>cantaloupes</v>
      </c>
      <c r="D151">
        <f t="shared" ca="1" si="5"/>
        <v>1</v>
      </c>
      <c r="E151">
        <f ca="1">VLOOKUP(B151,Dish!$A$1:$C$91,3,FALSE)</f>
        <v>6</v>
      </c>
      <c r="F151" t="e">
        <f>VLOOKUP(C151,'Ingredient Confirm'!$B$1:$F$406,6,FALSE)</f>
        <v>#REF!</v>
      </c>
      <c r="G151" t="str">
        <f>VLOOKUP(C151,'Ingredient Confirm'!$B$1:$F$406,2,FALSE)</f>
        <v>piece</v>
      </c>
    </row>
    <row r="152" spans="2:7" x14ac:dyDescent="0.25">
      <c r="B152">
        <f t="shared" ca="1" si="4"/>
        <v>34</v>
      </c>
      <c r="C152" t="str">
        <f>randomselection('Ingredient Confirm'!$B$2:$B$406)</f>
        <v>berries</v>
      </c>
      <c r="D152">
        <f t="shared" ca="1" si="5"/>
        <v>2</v>
      </c>
      <c r="E152">
        <f ca="1">VLOOKUP(B152,Dish!$A$1:$C$91,3,FALSE)</f>
        <v>12</v>
      </c>
      <c r="F152" t="e">
        <f>VLOOKUP(C152,'Ingredient Confirm'!$B$1:$F$406,6,FALSE)</f>
        <v>#REF!</v>
      </c>
      <c r="G152" t="str">
        <f>VLOOKUP(C152,'Ingredient Confirm'!$B$1:$F$406,2,FALSE)</f>
        <v>can</v>
      </c>
    </row>
    <row r="153" spans="2:7" x14ac:dyDescent="0.25">
      <c r="B153">
        <f t="shared" ca="1" si="4"/>
        <v>88</v>
      </c>
      <c r="C153" t="str">
        <f>randomselection('Ingredient Confirm'!$B$2:$B$406)</f>
        <v>spaghetti squash</v>
      </c>
      <c r="D153">
        <f t="shared" ca="1" si="5"/>
        <v>1</v>
      </c>
      <c r="E153">
        <f ca="1">VLOOKUP(B153,Dish!$A$1:$C$91,3,FALSE)</f>
        <v>2</v>
      </c>
      <c r="F153" t="e">
        <f>VLOOKUP(C153,'Ingredient Confirm'!$B$1:$F$406,6,FALSE)</f>
        <v>#REF!</v>
      </c>
      <c r="G153" t="str">
        <f>VLOOKUP(C153,'Ingredient Confirm'!$B$1:$F$406,2,FALSE)</f>
        <v>package</v>
      </c>
    </row>
    <row r="154" spans="2:7" x14ac:dyDescent="0.25">
      <c r="B154">
        <f t="shared" ca="1" si="4"/>
        <v>78</v>
      </c>
      <c r="C154" t="str">
        <f>randomselection('Ingredient Confirm'!$B$2:$B$406)</f>
        <v>cabbage</v>
      </c>
      <c r="D154">
        <f t="shared" ca="1" si="5"/>
        <v>1</v>
      </c>
      <c r="E154">
        <f ca="1">VLOOKUP(B154,Dish!$A$1:$C$91,3,FALSE)</f>
        <v>3</v>
      </c>
      <c r="F154" t="e">
        <f>VLOOKUP(C154,'Ingredient Confirm'!$B$1:$F$406,6,FALSE)</f>
        <v>#REF!</v>
      </c>
      <c r="G154" t="str">
        <f>VLOOKUP(C154,'Ingredient Confirm'!$B$1:$F$406,2,FALSE)</f>
        <v>piece</v>
      </c>
    </row>
    <row r="155" spans="2:7" x14ac:dyDescent="0.25">
      <c r="B155">
        <f t="shared" ca="1" si="4"/>
        <v>21</v>
      </c>
      <c r="C155" t="str">
        <f>randomselection('Ingredient Confirm'!$B$2:$B$406)</f>
        <v>mackerel</v>
      </c>
      <c r="D155">
        <f t="shared" ca="1" si="5"/>
        <v>2</v>
      </c>
      <c r="E155">
        <f ca="1">VLOOKUP(B155,Dish!$A$1:$C$91,3,FALSE)</f>
        <v>10</v>
      </c>
      <c r="F155" t="e">
        <f>VLOOKUP(C155,'Ingredient Confirm'!$B$1:$F$406,6,FALSE)</f>
        <v>#REF!</v>
      </c>
      <c r="G155" t="str">
        <f>VLOOKUP(C155,'Ingredient Confirm'!$B$1:$F$406,2,FALSE)</f>
        <v>piece</v>
      </c>
    </row>
    <row r="156" spans="2:7" x14ac:dyDescent="0.25">
      <c r="B156">
        <f t="shared" ca="1" si="4"/>
        <v>10</v>
      </c>
      <c r="C156" t="str">
        <f>randomselection('Ingredient Confirm'!$B$2:$B$406)</f>
        <v>hamburger</v>
      </c>
      <c r="D156">
        <f t="shared" ca="1" si="5"/>
        <v>1</v>
      </c>
      <c r="E156">
        <f ca="1">VLOOKUP(B156,Dish!$A$1:$C$91,3,FALSE)</f>
        <v>8</v>
      </c>
      <c r="F156" t="e">
        <f>VLOOKUP(C156,'Ingredient Confirm'!$B$1:$F$406,6,FALSE)</f>
        <v>#REF!</v>
      </c>
      <c r="G156" t="str">
        <f>VLOOKUP(C156,'Ingredient Confirm'!$B$1:$F$406,2,FALSE)</f>
        <v>piece</v>
      </c>
    </row>
    <row r="157" spans="2:7" x14ac:dyDescent="0.25">
      <c r="B157">
        <f t="shared" ca="1" si="4"/>
        <v>75</v>
      </c>
      <c r="C157" t="str">
        <f>randomselection('Ingredient Confirm'!$B$2:$B$406)</f>
        <v>cantaloupes</v>
      </c>
      <c r="D157">
        <f t="shared" ca="1" si="5"/>
        <v>2</v>
      </c>
      <c r="E157">
        <f ca="1">VLOOKUP(B157,Dish!$A$1:$C$91,3,FALSE)</f>
        <v>5</v>
      </c>
      <c r="F157" t="e">
        <f>VLOOKUP(C157,'Ingredient Confirm'!$B$1:$F$406,6,FALSE)</f>
        <v>#REF!</v>
      </c>
      <c r="G157" t="str">
        <f>VLOOKUP(C157,'Ingredient Confirm'!$B$1:$F$406,2,FALSE)</f>
        <v>piece</v>
      </c>
    </row>
    <row r="158" spans="2:7" x14ac:dyDescent="0.25">
      <c r="B158">
        <f t="shared" ca="1" si="4"/>
        <v>56</v>
      </c>
      <c r="C158" t="str">
        <f>randomselection('Ingredient Confirm'!$B$2:$B$406)</f>
        <v>hamburger</v>
      </c>
      <c r="D158">
        <f t="shared" ca="1" si="5"/>
        <v>2</v>
      </c>
      <c r="E158">
        <f ca="1">VLOOKUP(B158,Dish!$A$1:$C$91,3,FALSE)</f>
        <v>3</v>
      </c>
      <c r="F158" t="e">
        <f>VLOOKUP(C158,'Ingredient Confirm'!$B$1:$F$406,6,FALSE)</f>
        <v>#REF!</v>
      </c>
      <c r="G158" t="str">
        <f>VLOOKUP(C158,'Ingredient Confirm'!$B$1:$F$406,2,FALSE)</f>
        <v>piece</v>
      </c>
    </row>
    <row r="159" spans="2:7" x14ac:dyDescent="0.25">
      <c r="B159">
        <f ca="1">RANDBETWEEN(7,96)</f>
        <v>61</v>
      </c>
      <c r="C159" t="str">
        <f>randomselection('Ingredient Confirm'!$B$2:$B$406)</f>
        <v>apples</v>
      </c>
      <c r="D159">
        <f ca="1">RANDBETWEEN(1,2)</f>
        <v>2</v>
      </c>
      <c r="E159">
        <f ca="1">VLOOKUP(B159,Dish!$A$1:$C$91,3,FALSE)</f>
        <v>2</v>
      </c>
      <c r="F159" t="e">
        <f>VLOOKUP(C159,'Ingredient Confirm'!$B$1:$F$406,6,FALSE)</f>
        <v>#REF!</v>
      </c>
      <c r="G159" t="str">
        <f>VLOOKUP(C159,'Ingredient Confirm'!$B$1:$F$406,2,FALSE)</f>
        <v>package</v>
      </c>
    </row>
    <row r="160" spans="2:7" x14ac:dyDescent="0.25">
      <c r="B160">
        <f t="shared" ref="B160:B223" ca="1" si="6">RANDBETWEEN(7,96)</f>
        <v>31</v>
      </c>
      <c r="C160" t="str">
        <f>randomselection('Ingredient Confirm'!$B$2:$B$406)</f>
        <v>chestnuts</v>
      </c>
      <c r="D160">
        <f t="shared" ref="D160:D223" ca="1" si="7">RANDBETWEEN(1,2)</f>
        <v>2</v>
      </c>
      <c r="E160">
        <f ca="1">VLOOKUP(B160,Dish!$A$1:$C$91,3,FALSE)</f>
        <v>6</v>
      </c>
      <c r="F160" t="e">
        <f>VLOOKUP(C160,'Ingredient Confirm'!$B$1:$F$406,6,FALSE)</f>
        <v>#REF!</v>
      </c>
      <c r="G160" t="str">
        <f>VLOOKUP(C160,'Ingredient Confirm'!$B$1:$F$406,2,FALSE)</f>
        <v>can</v>
      </c>
    </row>
    <row r="161" spans="2:7" x14ac:dyDescent="0.25">
      <c r="B161">
        <f t="shared" ca="1" si="6"/>
        <v>79</v>
      </c>
      <c r="C161" t="str">
        <f>randomselection('Ingredient Confirm'!$B$2:$B$406)</f>
        <v>cabbage</v>
      </c>
      <c r="D161">
        <f t="shared" ca="1" si="7"/>
        <v>2</v>
      </c>
      <c r="E161">
        <f ca="1">VLOOKUP(B161,Dish!$A$1:$C$91,3,FALSE)</f>
        <v>13</v>
      </c>
      <c r="F161" t="e">
        <f>VLOOKUP(C161,'Ingredient Confirm'!$B$1:$F$406,6,FALSE)</f>
        <v>#REF!</v>
      </c>
      <c r="G161" t="str">
        <f>VLOOKUP(C161,'Ingredient Confirm'!$B$1:$F$406,2,FALSE)</f>
        <v>piece</v>
      </c>
    </row>
    <row r="162" spans="2:7" x14ac:dyDescent="0.25">
      <c r="B162">
        <f t="shared" ca="1" si="6"/>
        <v>44</v>
      </c>
      <c r="C162" t="str">
        <f>randomselection('Ingredient Confirm'!$B$2:$B$406)</f>
        <v>hot sauce</v>
      </c>
      <c r="D162">
        <f t="shared" ca="1" si="7"/>
        <v>2</v>
      </c>
      <c r="E162">
        <f ca="1">VLOOKUP(B162,Dish!$A$1:$C$91,3,FALSE)</f>
        <v>2</v>
      </c>
      <c r="F162" t="e">
        <f>VLOOKUP(C162,'Ingredient Confirm'!$B$1:$F$406,6,FALSE)</f>
        <v>#REF!</v>
      </c>
      <c r="G162" t="str">
        <f>VLOOKUP(C162,'Ingredient Confirm'!$B$1:$F$406,2,FALSE)</f>
        <v>can</v>
      </c>
    </row>
    <row r="163" spans="2:7" x14ac:dyDescent="0.25">
      <c r="B163">
        <f t="shared" ca="1" si="6"/>
        <v>70</v>
      </c>
      <c r="C163" t="str">
        <f>randomselection('Ingredient Confirm'!$B$2:$B$406)</f>
        <v>cooking wine</v>
      </c>
      <c r="D163">
        <f t="shared" ca="1" si="7"/>
        <v>1</v>
      </c>
      <c r="E163">
        <f ca="1">VLOOKUP(B163,Dish!$A$1:$C$91,3,FALSE)</f>
        <v>3</v>
      </c>
      <c r="F163" t="e">
        <f>VLOOKUP(C163,'Ingredient Confirm'!$B$1:$F$406,6,FALSE)</f>
        <v>#REF!</v>
      </c>
      <c r="G163" t="str">
        <f>VLOOKUP(C163,'Ingredient Confirm'!$B$1:$F$406,2,FALSE)</f>
        <v>can</v>
      </c>
    </row>
    <row r="164" spans="2:7" x14ac:dyDescent="0.25">
      <c r="B164">
        <f t="shared" ca="1" si="6"/>
        <v>94</v>
      </c>
      <c r="C164" t="str">
        <f>randomselection('Ingredient Confirm'!$B$2:$B$406)</f>
        <v>acorn squash</v>
      </c>
      <c r="D164">
        <f t="shared" ca="1" si="7"/>
        <v>2</v>
      </c>
      <c r="E164">
        <f ca="1">VLOOKUP(B164,Dish!$A$1:$C$91,3,FALSE)</f>
        <v>12</v>
      </c>
      <c r="F164" t="e">
        <f>VLOOKUP(C164,'Ingredient Confirm'!$B$1:$F$406,6,FALSE)</f>
        <v>#REF!</v>
      </c>
      <c r="G164" t="str">
        <f>VLOOKUP(C164,'Ingredient Confirm'!$B$1:$F$406,2,FALSE)</f>
        <v>package</v>
      </c>
    </row>
    <row r="165" spans="2:7" x14ac:dyDescent="0.25">
      <c r="B165">
        <f t="shared" ca="1" si="6"/>
        <v>31</v>
      </c>
      <c r="C165" t="str">
        <f>randomselection('Ingredient Confirm'!$B$2:$B$406)</f>
        <v>pumpkin seeds</v>
      </c>
      <c r="D165">
        <f t="shared" ca="1" si="7"/>
        <v>2</v>
      </c>
      <c r="E165">
        <f ca="1">VLOOKUP(B165,Dish!$A$1:$C$91,3,FALSE)</f>
        <v>6</v>
      </c>
      <c r="F165" t="e">
        <f>VLOOKUP(C165,'Ingredient Confirm'!$B$1:$F$406,6,FALSE)</f>
        <v>#REF!</v>
      </c>
      <c r="G165" t="str">
        <f>VLOOKUP(C165,'Ingredient Confirm'!$B$1:$F$406,2,FALSE)</f>
        <v>package</v>
      </c>
    </row>
    <row r="166" spans="2:7" x14ac:dyDescent="0.25">
      <c r="B166">
        <f t="shared" ca="1" si="6"/>
        <v>94</v>
      </c>
      <c r="C166" t="str">
        <f>randomselection('Ingredient Confirm'!$B$2:$B$406)</f>
        <v>liver</v>
      </c>
      <c r="D166">
        <f t="shared" ca="1" si="7"/>
        <v>2</v>
      </c>
      <c r="E166">
        <f ca="1">VLOOKUP(B166,Dish!$A$1:$C$91,3,FALSE)</f>
        <v>12</v>
      </c>
      <c r="F166" t="e">
        <f>VLOOKUP(C166,'Ingredient Confirm'!$B$1:$F$406,6,FALSE)</f>
        <v>#REF!</v>
      </c>
      <c r="G166" t="str">
        <f>VLOOKUP(C166,'Ingredient Confirm'!$B$1:$F$406,2,FALSE)</f>
        <v>piece</v>
      </c>
    </row>
    <row r="167" spans="2:7" x14ac:dyDescent="0.25">
      <c r="B167">
        <f t="shared" ca="1" si="6"/>
        <v>68</v>
      </c>
      <c r="C167" t="str">
        <f>randomselection('Ingredient Confirm'!$B$2:$B$406)</f>
        <v>chestnuts</v>
      </c>
      <c r="D167">
        <f t="shared" ca="1" si="7"/>
        <v>2</v>
      </c>
      <c r="E167">
        <f ca="1">VLOOKUP(B167,Dish!$A$1:$C$91,3,FALSE)</f>
        <v>2</v>
      </c>
      <c r="F167" t="e">
        <f>VLOOKUP(C167,'Ingredient Confirm'!$B$1:$F$406,6,FALSE)</f>
        <v>#REF!</v>
      </c>
      <c r="G167" t="str">
        <f>VLOOKUP(C167,'Ingredient Confirm'!$B$1:$F$406,2,FALSE)</f>
        <v>can</v>
      </c>
    </row>
    <row r="168" spans="2:7" x14ac:dyDescent="0.25">
      <c r="B168">
        <f t="shared" ca="1" si="6"/>
        <v>34</v>
      </c>
      <c r="C168" t="str">
        <f>randomselection('Ingredient Confirm'!$B$2:$B$406)</f>
        <v>cream of tartar</v>
      </c>
      <c r="D168">
        <f t="shared" ca="1" si="7"/>
        <v>2</v>
      </c>
      <c r="E168">
        <f ca="1">VLOOKUP(B168,Dish!$A$1:$C$91,3,FALSE)</f>
        <v>12</v>
      </c>
      <c r="F168" t="e">
        <f>VLOOKUP(C168,'Ingredient Confirm'!$B$1:$F$406,6,FALSE)</f>
        <v>#REF!</v>
      </c>
      <c r="G168" t="str">
        <f>VLOOKUP(C168,'Ingredient Confirm'!$B$1:$F$406,2,FALSE)</f>
        <v>can</v>
      </c>
    </row>
    <row r="169" spans="2:7" x14ac:dyDescent="0.25">
      <c r="B169">
        <f t="shared" ca="1" si="6"/>
        <v>74</v>
      </c>
      <c r="C169" t="str">
        <f>randomselection('Ingredient Confirm'!$B$2:$B$406)</f>
        <v>cantaloupes</v>
      </c>
      <c r="D169">
        <f t="shared" ca="1" si="7"/>
        <v>1</v>
      </c>
      <c r="E169">
        <f ca="1">VLOOKUP(B169,Dish!$A$1:$C$91,3,FALSE)</f>
        <v>14</v>
      </c>
      <c r="F169" t="e">
        <f>VLOOKUP(C169,'Ingredient Confirm'!$B$1:$F$406,6,FALSE)</f>
        <v>#REF!</v>
      </c>
      <c r="G169" t="str">
        <f>VLOOKUP(C169,'Ingredient Confirm'!$B$1:$F$406,2,FALSE)</f>
        <v>piece</v>
      </c>
    </row>
    <row r="170" spans="2:7" x14ac:dyDescent="0.25">
      <c r="B170">
        <f t="shared" ca="1" si="6"/>
        <v>15</v>
      </c>
      <c r="C170" t="str">
        <f>randomselection('Ingredient Confirm'!$B$2:$B$406)</f>
        <v>ale</v>
      </c>
      <c r="D170">
        <f t="shared" ca="1" si="7"/>
        <v>2</v>
      </c>
      <c r="E170">
        <f ca="1">VLOOKUP(B170,Dish!$A$1:$C$91,3,FALSE)</f>
        <v>12</v>
      </c>
      <c r="F170" t="e">
        <f>VLOOKUP(C170,'Ingredient Confirm'!$B$1:$F$406,6,FALSE)</f>
        <v>#REF!</v>
      </c>
      <c r="G170" t="str">
        <f>VLOOKUP(C170,'Ingredient Confirm'!$B$1:$F$406,2,FALSE)</f>
        <v>package</v>
      </c>
    </row>
    <row r="171" spans="2:7" x14ac:dyDescent="0.25">
      <c r="B171">
        <f t="shared" ca="1" si="6"/>
        <v>25</v>
      </c>
      <c r="C171" t="str">
        <f>randomselection('Ingredient Confirm'!$B$2:$B$406)</f>
        <v>provolone</v>
      </c>
      <c r="D171">
        <f t="shared" ca="1" si="7"/>
        <v>1</v>
      </c>
      <c r="E171">
        <f ca="1">VLOOKUP(B171,Dish!$A$1:$C$91,3,FALSE)</f>
        <v>5</v>
      </c>
      <c r="F171" t="e">
        <f>VLOOKUP(C171,'Ingredient Confirm'!$B$1:$F$406,6,FALSE)</f>
        <v>#REF!</v>
      </c>
      <c r="G171" t="str">
        <f>VLOOKUP(C171,'Ingredient Confirm'!$B$1:$F$406,2,FALSE)</f>
        <v>package</v>
      </c>
    </row>
    <row r="172" spans="2:7" x14ac:dyDescent="0.25">
      <c r="B172">
        <f t="shared" ca="1" si="6"/>
        <v>81</v>
      </c>
      <c r="C172" t="str">
        <f>randomselection('Ingredient Confirm'!$B$2:$B$406)</f>
        <v>blue cheese</v>
      </c>
      <c r="D172">
        <f t="shared" ca="1" si="7"/>
        <v>1</v>
      </c>
      <c r="E172">
        <f ca="1">VLOOKUP(B172,Dish!$A$1:$C$91,3,FALSE)</f>
        <v>11</v>
      </c>
      <c r="F172" t="e">
        <f>VLOOKUP(C172,'Ingredient Confirm'!$B$1:$F$406,6,FALSE)</f>
        <v>#REF!</v>
      </c>
      <c r="G172" t="str">
        <f>VLOOKUP(C172,'Ingredient Confirm'!$B$1:$F$406,2,FALSE)</f>
        <v>package</v>
      </c>
    </row>
    <row r="173" spans="2:7" x14ac:dyDescent="0.25">
      <c r="B173">
        <f t="shared" ca="1" si="6"/>
        <v>80</v>
      </c>
      <c r="C173" t="str">
        <f>randomselection('Ingredient Confirm'!$B$2:$B$406)</f>
        <v>provolone</v>
      </c>
      <c r="D173">
        <f t="shared" ca="1" si="7"/>
        <v>1</v>
      </c>
      <c r="E173">
        <f ca="1">VLOOKUP(B173,Dish!$A$1:$C$91,3,FALSE)</f>
        <v>7</v>
      </c>
      <c r="F173" t="e">
        <f>VLOOKUP(C173,'Ingredient Confirm'!$B$1:$F$406,6,FALSE)</f>
        <v>#REF!</v>
      </c>
      <c r="G173" t="str">
        <f>VLOOKUP(C173,'Ingredient Confirm'!$B$1:$F$406,2,FALSE)</f>
        <v>package</v>
      </c>
    </row>
    <row r="174" spans="2:7" x14ac:dyDescent="0.25">
      <c r="B174">
        <f t="shared" ca="1" si="6"/>
        <v>64</v>
      </c>
      <c r="C174" t="str">
        <f>randomselection('Ingredient Confirm'!$B$2:$B$406)</f>
        <v>cremini mushrooms</v>
      </c>
      <c r="D174">
        <f t="shared" ca="1" si="7"/>
        <v>1</v>
      </c>
      <c r="E174">
        <f ca="1">VLOOKUP(B174,Dish!$A$1:$C$91,3,FALSE)</f>
        <v>14</v>
      </c>
      <c r="F174" t="e">
        <f>VLOOKUP(C174,'Ingredient Confirm'!$B$1:$F$406,6,FALSE)</f>
        <v>#REF!</v>
      </c>
      <c r="G174" t="str">
        <f>VLOOKUP(C174,'Ingredient Confirm'!$B$1:$F$406,2,FALSE)</f>
        <v>can</v>
      </c>
    </row>
    <row r="175" spans="2:7" x14ac:dyDescent="0.25">
      <c r="B175">
        <f t="shared" ca="1" si="6"/>
        <v>20</v>
      </c>
      <c r="C175" t="str">
        <f>randomselection('Ingredient Confirm'!$B$2:$B$406)</f>
        <v>acorn squash</v>
      </c>
      <c r="D175">
        <f t="shared" ca="1" si="7"/>
        <v>1</v>
      </c>
      <c r="E175">
        <f ca="1">VLOOKUP(B175,Dish!$A$1:$C$91,3,FALSE)</f>
        <v>8</v>
      </c>
      <c r="F175" t="e">
        <f>VLOOKUP(C175,'Ingredient Confirm'!$B$1:$F$406,6,FALSE)</f>
        <v>#REF!</v>
      </c>
      <c r="G175" t="str">
        <f>VLOOKUP(C175,'Ingredient Confirm'!$B$1:$F$406,2,FALSE)</f>
        <v>package</v>
      </c>
    </row>
    <row r="176" spans="2:7" x14ac:dyDescent="0.25">
      <c r="B176">
        <f t="shared" ca="1" si="6"/>
        <v>61</v>
      </c>
      <c r="C176" t="str">
        <f>randomselection('Ingredient Confirm'!$B$2:$B$406)</f>
        <v>bean threads</v>
      </c>
      <c r="D176">
        <f t="shared" ca="1" si="7"/>
        <v>2</v>
      </c>
      <c r="E176">
        <f ca="1">VLOOKUP(B176,Dish!$A$1:$C$91,3,FALSE)</f>
        <v>2</v>
      </c>
      <c r="F176" t="e">
        <f>VLOOKUP(C176,'Ingredient Confirm'!$B$1:$F$406,6,FALSE)</f>
        <v>#REF!</v>
      </c>
      <c r="G176" t="str">
        <f>VLOOKUP(C176,'Ingredient Confirm'!$B$1:$F$406,2,FALSE)</f>
        <v>can</v>
      </c>
    </row>
    <row r="177" spans="2:7" x14ac:dyDescent="0.25">
      <c r="B177">
        <f t="shared" ca="1" si="6"/>
        <v>62</v>
      </c>
      <c r="C177" t="str">
        <f>randomselection('Ingredient Confirm'!$B$2:$B$406)</f>
        <v>acorn squash</v>
      </c>
      <c r="D177">
        <f t="shared" ca="1" si="7"/>
        <v>1</v>
      </c>
      <c r="E177">
        <f ca="1">VLOOKUP(B177,Dish!$A$1:$C$91,3,FALSE)</f>
        <v>4</v>
      </c>
      <c r="F177" t="e">
        <f>VLOOKUP(C177,'Ingredient Confirm'!$B$1:$F$406,6,FALSE)</f>
        <v>#REF!</v>
      </c>
      <c r="G177" t="str">
        <f>VLOOKUP(C177,'Ingredient Confirm'!$B$1:$F$406,2,FALSE)</f>
        <v>package</v>
      </c>
    </row>
    <row r="178" spans="2:7" x14ac:dyDescent="0.25">
      <c r="B178">
        <f t="shared" ca="1" si="6"/>
        <v>7</v>
      </c>
      <c r="C178" t="str">
        <f>randomselection('Ingredient Confirm'!$B$2:$B$406)</f>
        <v>provolone</v>
      </c>
      <c r="D178">
        <f t="shared" ca="1" si="7"/>
        <v>1</v>
      </c>
      <c r="E178">
        <f ca="1">VLOOKUP(B178,Dish!$A$1:$C$91,3,FALSE)</f>
        <v>15</v>
      </c>
      <c r="F178" t="e">
        <f>VLOOKUP(C178,'Ingredient Confirm'!$B$1:$F$406,6,FALSE)</f>
        <v>#REF!</v>
      </c>
      <c r="G178" t="str">
        <f>VLOOKUP(C178,'Ingredient Confirm'!$B$1:$F$406,2,FALSE)</f>
        <v>package</v>
      </c>
    </row>
    <row r="179" spans="2:7" x14ac:dyDescent="0.25">
      <c r="B179">
        <f t="shared" ca="1" si="6"/>
        <v>63</v>
      </c>
      <c r="C179" t="str">
        <f>randomselection('Ingredient Confirm'!$B$2:$B$406)</f>
        <v>acorn squash</v>
      </c>
      <c r="D179">
        <f t="shared" ca="1" si="7"/>
        <v>1</v>
      </c>
      <c r="E179">
        <f ca="1">VLOOKUP(B179,Dish!$A$1:$C$91,3,FALSE)</f>
        <v>4</v>
      </c>
      <c r="F179" t="e">
        <f>VLOOKUP(C179,'Ingredient Confirm'!$B$1:$F$406,6,FALSE)</f>
        <v>#REF!</v>
      </c>
      <c r="G179" t="str">
        <f>VLOOKUP(C179,'Ingredient Confirm'!$B$1:$F$406,2,FALSE)</f>
        <v>package</v>
      </c>
    </row>
    <row r="180" spans="2:7" x14ac:dyDescent="0.25">
      <c r="B180">
        <f t="shared" ca="1" si="6"/>
        <v>67</v>
      </c>
      <c r="C180" t="str">
        <f>randomselection('Ingredient Confirm'!$B$2:$B$406)</f>
        <v>spearmint</v>
      </c>
      <c r="D180">
        <f t="shared" ca="1" si="7"/>
        <v>1</v>
      </c>
      <c r="E180">
        <f ca="1">VLOOKUP(B180,Dish!$A$1:$C$91,3,FALSE)</f>
        <v>4</v>
      </c>
      <c r="F180" t="e">
        <f>VLOOKUP(C180,'Ingredient Confirm'!$B$1:$F$406,6,FALSE)</f>
        <v>#REF!</v>
      </c>
      <c r="G180" t="str">
        <f>VLOOKUP(C180,'Ingredient Confirm'!$B$1:$F$406,2,FALSE)</f>
        <v>package</v>
      </c>
    </row>
    <row r="181" spans="2:7" x14ac:dyDescent="0.25">
      <c r="B181">
        <f t="shared" ca="1" si="6"/>
        <v>50</v>
      </c>
      <c r="C181" t="str">
        <f>randomselection('Ingredient Confirm'!$B$2:$B$406)</f>
        <v>coriander</v>
      </c>
      <c r="D181">
        <f t="shared" ca="1" si="7"/>
        <v>2</v>
      </c>
      <c r="E181">
        <f ca="1">VLOOKUP(B181,Dish!$A$1:$C$91,3,FALSE)</f>
        <v>8</v>
      </c>
      <c r="F181" t="e">
        <f>VLOOKUP(C181,'Ingredient Confirm'!$B$1:$F$406,6,FALSE)</f>
        <v>#REF!</v>
      </c>
      <c r="G181" t="str">
        <f>VLOOKUP(C181,'Ingredient Confirm'!$B$1:$F$406,2,FALSE)</f>
        <v>can</v>
      </c>
    </row>
    <row r="182" spans="2:7" x14ac:dyDescent="0.25">
      <c r="B182">
        <f t="shared" ca="1" si="6"/>
        <v>29</v>
      </c>
      <c r="C182" t="str">
        <f>randomselection('Ingredient Confirm'!$B$2:$B$406)</f>
        <v>brandy</v>
      </c>
      <c r="D182">
        <f t="shared" ca="1" si="7"/>
        <v>1</v>
      </c>
      <c r="E182">
        <f ca="1">VLOOKUP(B182,Dish!$A$1:$C$91,3,FALSE)</f>
        <v>9</v>
      </c>
      <c r="F182" t="e">
        <f>VLOOKUP(C182,'Ingredient Confirm'!$B$1:$F$406,6,FALSE)</f>
        <v>#REF!</v>
      </c>
      <c r="G182" t="str">
        <f>VLOOKUP(C182,'Ingredient Confirm'!$B$1:$F$406,2,FALSE)</f>
        <v>bottle</v>
      </c>
    </row>
    <row r="183" spans="2:7" x14ac:dyDescent="0.25">
      <c r="B183">
        <f t="shared" ca="1" si="6"/>
        <v>80</v>
      </c>
      <c r="C183" t="str">
        <f>randomselection('Ingredient Confirm'!$B$2:$B$406)</f>
        <v>brandy</v>
      </c>
      <c r="D183">
        <f t="shared" ca="1" si="7"/>
        <v>1</v>
      </c>
      <c r="E183">
        <f ca="1">VLOOKUP(B183,Dish!$A$1:$C$91,3,FALSE)</f>
        <v>7</v>
      </c>
      <c r="F183" t="e">
        <f>VLOOKUP(C183,'Ingredient Confirm'!$B$1:$F$406,6,FALSE)</f>
        <v>#REF!</v>
      </c>
      <c r="G183" t="str">
        <f>VLOOKUP(C183,'Ingredient Confirm'!$B$1:$F$406,2,FALSE)</f>
        <v>bottle</v>
      </c>
    </row>
    <row r="184" spans="2:7" x14ac:dyDescent="0.25">
      <c r="B184">
        <f t="shared" ca="1" si="6"/>
        <v>9</v>
      </c>
      <c r="C184" t="str">
        <f>randomselection('Ingredient Confirm'!$B$2:$B$406)</f>
        <v>cabbage</v>
      </c>
      <c r="D184">
        <f t="shared" ca="1" si="7"/>
        <v>2</v>
      </c>
      <c r="E184">
        <f ca="1">VLOOKUP(B184,Dish!$A$1:$C$91,3,FALSE)</f>
        <v>7</v>
      </c>
      <c r="F184" t="e">
        <f>VLOOKUP(C184,'Ingredient Confirm'!$B$1:$F$406,6,FALSE)</f>
        <v>#REF!</v>
      </c>
      <c r="G184" t="str">
        <f>VLOOKUP(C184,'Ingredient Confirm'!$B$1:$F$406,2,FALSE)</f>
        <v>piece</v>
      </c>
    </row>
    <row r="185" spans="2:7" x14ac:dyDescent="0.25">
      <c r="B185">
        <f t="shared" ca="1" si="6"/>
        <v>43</v>
      </c>
      <c r="C185" t="str">
        <f>randomselection('Ingredient Confirm'!$B$2:$B$406)</f>
        <v>provolone</v>
      </c>
      <c r="D185">
        <f t="shared" ca="1" si="7"/>
        <v>2</v>
      </c>
      <c r="E185">
        <f ca="1">VLOOKUP(B185,Dish!$A$1:$C$91,3,FALSE)</f>
        <v>15</v>
      </c>
      <c r="F185" t="e">
        <f>VLOOKUP(C185,'Ingredient Confirm'!$B$1:$F$406,6,FALSE)</f>
        <v>#REF!</v>
      </c>
      <c r="G185" t="str">
        <f>VLOOKUP(C185,'Ingredient Confirm'!$B$1:$F$406,2,FALSE)</f>
        <v>package</v>
      </c>
    </row>
    <row r="186" spans="2:7" x14ac:dyDescent="0.25">
      <c r="B186">
        <f t="shared" ca="1" si="6"/>
        <v>52</v>
      </c>
      <c r="C186" t="str">
        <f>randomselection('Ingredient Confirm'!$B$2:$B$406)</f>
        <v>provolone</v>
      </c>
      <c r="D186">
        <f t="shared" ca="1" si="7"/>
        <v>1</v>
      </c>
      <c r="E186">
        <f ca="1">VLOOKUP(B186,Dish!$A$1:$C$91,3,FALSE)</f>
        <v>8</v>
      </c>
      <c r="F186" t="e">
        <f>VLOOKUP(C186,'Ingredient Confirm'!$B$1:$F$406,6,FALSE)</f>
        <v>#REF!</v>
      </c>
      <c r="G186" t="str">
        <f>VLOOKUP(C186,'Ingredient Confirm'!$B$1:$F$406,2,FALSE)</f>
        <v>package</v>
      </c>
    </row>
    <row r="187" spans="2:7" x14ac:dyDescent="0.25">
      <c r="B187">
        <f t="shared" ca="1" si="6"/>
        <v>88</v>
      </c>
      <c r="C187" t="str">
        <f>randomselection('Ingredient Confirm'!$B$2:$B$406)</f>
        <v>blue cheese</v>
      </c>
      <c r="D187">
        <f t="shared" ca="1" si="7"/>
        <v>2</v>
      </c>
      <c r="E187">
        <f ca="1">VLOOKUP(B187,Dish!$A$1:$C$91,3,FALSE)</f>
        <v>2</v>
      </c>
      <c r="F187" t="e">
        <f>VLOOKUP(C187,'Ingredient Confirm'!$B$1:$F$406,6,FALSE)</f>
        <v>#REF!</v>
      </c>
      <c r="G187" t="str">
        <f>VLOOKUP(C187,'Ingredient Confirm'!$B$1:$F$406,2,FALSE)</f>
        <v>package</v>
      </c>
    </row>
    <row r="188" spans="2:7" x14ac:dyDescent="0.25">
      <c r="B188">
        <f t="shared" ca="1" si="6"/>
        <v>50</v>
      </c>
      <c r="C188" t="str">
        <f>randomselection('Ingredient Confirm'!$B$2:$B$406)</f>
        <v>ale</v>
      </c>
      <c r="D188">
        <f t="shared" ca="1" si="7"/>
        <v>1</v>
      </c>
      <c r="E188">
        <f ca="1">VLOOKUP(B188,Dish!$A$1:$C$91,3,FALSE)</f>
        <v>8</v>
      </c>
      <c r="F188" t="e">
        <f>VLOOKUP(C188,'Ingredient Confirm'!$B$1:$F$406,6,FALSE)</f>
        <v>#REF!</v>
      </c>
      <c r="G188" t="str">
        <f>VLOOKUP(C188,'Ingredient Confirm'!$B$1:$F$406,2,FALSE)</f>
        <v>package</v>
      </c>
    </row>
    <row r="189" spans="2:7" x14ac:dyDescent="0.25">
      <c r="B189">
        <f t="shared" ca="1" si="6"/>
        <v>72</v>
      </c>
      <c r="C189" t="str">
        <f>randomselection('Ingredient Confirm'!$B$2:$B$406)</f>
        <v>ricotta cheese</v>
      </c>
      <c r="D189">
        <f t="shared" ca="1" si="7"/>
        <v>2</v>
      </c>
      <c r="E189">
        <f ca="1">VLOOKUP(B189,Dish!$A$1:$C$91,3,FALSE)</f>
        <v>3</v>
      </c>
      <c r="F189" t="e">
        <f>VLOOKUP(C189,'Ingredient Confirm'!$B$1:$F$406,6,FALSE)</f>
        <v>#REF!</v>
      </c>
      <c r="G189" t="str">
        <f>VLOOKUP(C189,'Ingredient Confirm'!$B$1:$F$406,2,FALSE)</f>
        <v>package</v>
      </c>
    </row>
    <row r="190" spans="2:7" x14ac:dyDescent="0.25">
      <c r="B190">
        <f t="shared" ca="1" si="6"/>
        <v>77</v>
      </c>
      <c r="C190" t="str">
        <f>randomselection('Ingredient Confirm'!$B$2:$B$406)</f>
        <v>feta cheese</v>
      </c>
      <c r="D190">
        <f t="shared" ca="1" si="7"/>
        <v>1</v>
      </c>
      <c r="E190">
        <f ca="1">VLOOKUP(B190,Dish!$A$1:$C$91,3,FALSE)</f>
        <v>9</v>
      </c>
      <c r="F190" t="e">
        <f>VLOOKUP(C190,'Ingredient Confirm'!$B$1:$F$406,6,FALSE)</f>
        <v>#REF!</v>
      </c>
      <c r="G190" t="str">
        <f>VLOOKUP(C190,'Ingredient Confirm'!$B$1:$F$406,2,FALSE)</f>
        <v>package</v>
      </c>
    </row>
    <row r="191" spans="2:7" x14ac:dyDescent="0.25">
      <c r="B191">
        <f t="shared" ca="1" si="6"/>
        <v>72</v>
      </c>
      <c r="C191" t="str">
        <f>randomselection('Ingredient Confirm'!$B$2:$B$406)</f>
        <v>corn</v>
      </c>
      <c r="D191">
        <f t="shared" ca="1" si="7"/>
        <v>2</v>
      </c>
      <c r="E191">
        <f ca="1">VLOOKUP(B191,Dish!$A$1:$C$91,3,FALSE)</f>
        <v>3</v>
      </c>
      <c r="F191" t="e">
        <f>VLOOKUP(C191,'Ingredient Confirm'!$B$1:$F$406,6,FALSE)</f>
        <v>#REF!</v>
      </c>
      <c r="G191" t="str">
        <f>VLOOKUP(C191,'Ingredient Confirm'!$B$1:$F$406,2,FALSE)</f>
        <v>can</v>
      </c>
    </row>
    <row r="192" spans="2:7" x14ac:dyDescent="0.25">
      <c r="B192">
        <f t="shared" ca="1" si="6"/>
        <v>79</v>
      </c>
      <c r="C192" t="str">
        <f>randomselection('Ingredient Confirm'!$B$2:$B$406)</f>
        <v>jicama</v>
      </c>
      <c r="D192">
        <f t="shared" ca="1" si="7"/>
        <v>1</v>
      </c>
      <c r="E192">
        <f ca="1">VLOOKUP(B192,Dish!$A$1:$C$91,3,FALSE)</f>
        <v>13</v>
      </c>
      <c r="F192" t="e">
        <f>VLOOKUP(C192,'Ingredient Confirm'!$B$1:$F$406,6,FALSE)</f>
        <v>#REF!</v>
      </c>
      <c r="G192" t="str">
        <f>VLOOKUP(C192,'Ingredient Confirm'!$B$1:$F$406,2,FALSE)</f>
        <v>package</v>
      </c>
    </row>
    <row r="193" spans="2:7" x14ac:dyDescent="0.25">
      <c r="B193">
        <f t="shared" ca="1" si="6"/>
        <v>35</v>
      </c>
      <c r="C193" t="str">
        <f>randomselection('Ingredient Confirm'!$B$2:$B$406)</f>
        <v>baking soda</v>
      </c>
      <c r="D193">
        <f t="shared" ca="1" si="7"/>
        <v>1</v>
      </c>
      <c r="E193">
        <f ca="1">VLOOKUP(B193,Dish!$A$1:$C$91,3,FALSE)</f>
        <v>7</v>
      </c>
      <c r="F193" t="e">
        <f>VLOOKUP(C193,'Ingredient Confirm'!$B$1:$F$406,6,FALSE)</f>
        <v>#REF!</v>
      </c>
      <c r="G193" t="str">
        <f>VLOOKUP(C193,'Ingredient Confirm'!$B$1:$F$406,2,FALSE)</f>
        <v>can</v>
      </c>
    </row>
    <row r="194" spans="2:7" x14ac:dyDescent="0.25">
      <c r="B194">
        <f t="shared" ca="1" si="6"/>
        <v>18</v>
      </c>
      <c r="C194" t="str">
        <f>randomselection('Ingredient Confirm'!$B$2:$B$406)</f>
        <v>Canadian bacon</v>
      </c>
      <c r="D194">
        <f t="shared" ca="1" si="7"/>
        <v>2</v>
      </c>
      <c r="E194">
        <f ca="1">VLOOKUP(B194,Dish!$A$1:$C$91,3,FALSE)</f>
        <v>12</v>
      </c>
      <c r="F194" t="e">
        <f>VLOOKUP(C194,'Ingredient Confirm'!$B$1:$F$406,6,FALSE)</f>
        <v>#REF!</v>
      </c>
      <c r="G194" t="str">
        <f>VLOOKUP(C194,'Ingredient Confirm'!$B$1:$F$406,2,FALSE)</f>
        <v>piece</v>
      </c>
    </row>
    <row r="195" spans="2:7" x14ac:dyDescent="0.25">
      <c r="B195">
        <f t="shared" ca="1" si="6"/>
        <v>35</v>
      </c>
      <c r="C195" t="str">
        <f>randomselection('Ingredient Confirm'!$B$2:$B$406)</f>
        <v>chard</v>
      </c>
      <c r="D195">
        <f t="shared" ca="1" si="7"/>
        <v>2</v>
      </c>
      <c r="E195">
        <f ca="1">VLOOKUP(B195,Dish!$A$1:$C$91,3,FALSE)</f>
        <v>7</v>
      </c>
      <c r="F195" t="e">
        <f>VLOOKUP(C195,'Ingredient Confirm'!$B$1:$F$406,6,FALSE)</f>
        <v>#REF!</v>
      </c>
      <c r="G195" t="str">
        <f>VLOOKUP(C195,'Ingredient Confirm'!$B$1:$F$406,2,FALSE)</f>
        <v>can</v>
      </c>
    </row>
    <row r="196" spans="2:7" x14ac:dyDescent="0.25">
      <c r="B196">
        <f t="shared" ca="1" si="6"/>
        <v>8</v>
      </c>
      <c r="C196" t="str">
        <f>randomselection('Ingredient Confirm'!$B$2:$B$406)</f>
        <v>acorn squash</v>
      </c>
      <c r="D196">
        <f t="shared" ca="1" si="7"/>
        <v>2</v>
      </c>
      <c r="E196">
        <f ca="1">VLOOKUP(B196,Dish!$A$1:$C$91,3,FALSE)</f>
        <v>5</v>
      </c>
      <c r="F196" t="e">
        <f>VLOOKUP(C196,'Ingredient Confirm'!$B$1:$F$406,6,FALSE)</f>
        <v>#REF!</v>
      </c>
      <c r="G196" t="str">
        <f>VLOOKUP(C196,'Ingredient Confirm'!$B$1:$F$406,2,FALSE)</f>
        <v>package</v>
      </c>
    </row>
    <row r="197" spans="2:7" x14ac:dyDescent="0.25">
      <c r="B197">
        <f t="shared" ca="1" si="6"/>
        <v>83</v>
      </c>
      <c r="C197" t="str">
        <f>randomselection('Ingredient Confirm'!$B$2:$B$406)</f>
        <v>acorn squash</v>
      </c>
      <c r="D197">
        <f t="shared" ca="1" si="7"/>
        <v>2</v>
      </c>
      <c r="E197">
        <f ca="1">VLOOKUP(B197,Dish!$A$1:$C$91,3,FALSE)</f>
        <v>13</v>
      </c>
      <c r="F197" t="e">
        <f>VLOOKUP(C197,'Ingredient Confirm'!$B$1:$F$406,6,FALSE)</f>
        <v>#REF!</v>
      </c>
      <c r="G197" t="str">
        <f>VLOOKUP(C197,'Ingredient Confirm'!$B$1:$F$406,2,FALSE)</f>
        <v>package</v>
      </c>
    </row>
    <row r="198" spans="2:7" x14ac:dyDescent="0.25">
      <c r="B198">
        <f t="shared" ca="1" si="6"/>
        <v>95</v>
      </c>
      <c r="C198" t="str">
        <f>randomselection('Ingredient Confirm'!$B$2:$B$406)</f>
        <v>cornmeal</v>
      </c>
      <c r="D198">
        <f t="shared" ca="1" si="7"/>
        <v>1</v>
      </c>
      <c r="E198">
        <f ca="1">VLOOKUP(B198,Dish!$A$1:$C$91,3,FALSE)</f>
        <v>4</v>
      </c>
      <c r="F198" t="e">
        <f>VLOOKUP(C198,'Ingredient Confirm'!$B$1:$F$406,6,FALSE)</f>
        <v>#REF!</v>
      </c>
      <c r="G198" t="str">
        <f>VLOOKUP(C198,'Ingredient Confirm'!$B$1:$F$406,2,FALSE)</f>
        <v>can</v>
      </c>
    </row>
    <row r="199" spans="2:7" x14ac:dyDescent="0.25">
      <c r="B199">
        <f t="shared" ca="1" si="6"/>
        <v>64</v>
      </c>
      <c r="C199" t="str">
        <f>randomselection('Ingredient Confirm'!$B$2:$B$406)</f>
        <v>plantains</v>
      </c>
      <c r="D199">
        <f t="shared" ca="1" si="7"/>
        <v>1</v>
      </c>
      <c r="E199">
        <f ca="1">VLOOKUP(B199,Dish!$A$1:$C$91,3,FALSE)</f>
        <v>14</v>
      </c>
      <c r="F199" t="e">
        <f>VLOOKUP(C199,'Ingredient Confirm'!$B$1:$F$406,6,FALSE)</f>
        <v>#REF!</v>
      </c>
      <c r="G199" t="str">
        <f>VLOOKUP(C199,'Ingredient Confirm'!$B$1:$F$406,2,FALSE)</f>
        <v>can</v>
      </c>
    </row>
    <row r="200" spans="2:7" x14ac:dyDescent="0.25">
      <c r="B200">
        <f t="shared" ca="1" si="6"/>
        <v>55</v>
      </c>
      <c r="C200" t="str">
        <f>randomselection('Ingredient Confirm'!$B$2:$B$406)</f>
        <v>corn</v>
      </c>
      <c r="D200">
        <f t="shared" ca="1" si="7"/>
        <v>2</v>
      </c>
      <c r="E200">
        <f ca="1">VLOOKUP(B200,Dish!$A$1:$C$91,3,FALSE)</f>
        <v>5</v>
      </c>
      <c r="F200" t="e">
        <f>VLOOKUP(C200,'Ingredient Confirm'!$B$1:$F$406,6,FALSE)</f>
        <v>#REF!</v>
      </c>
      <c r="G200" t="str">
        <f>VLOOKUP(C200,'Ingredient Confirm'!$B$1:$F$406,2,FALSE)</f>
        <v>can</v>
      </c>
    </row>
    <row r="201" spans="2:7" x14ac:dyDescent="0.25">
      <c r="B201">
        <f t="shared" ca="1" si="6"/>
        <v>18</v>
      </c>
      <c r="C201" t="str">
        <f>randomselection('Ingredient Confirm'!$B$2:$B$406)</f>
        <v>ricotta cheese</v>
      </c>
      <c r="D201">
        <f t="shared" ca="1" si="7"/>
        <v>2</v>
      </c>
      <c r="E201">
        <f ca="1">VLOOKUP(B201,Dish!$A$1:$C$91,3,FALSE)</f>
        <v>12</v>
      </c>
      <c r="F201" t="e">
        <f>VLOOKUP(C201,'Ingredient Confirm'!$B$1:$F$406,6,FALSE)</f>
        <v>#REF!</v>
      </c>
      <c r="G201" t="str">
        <f>VLOOKUP(C201,'Ingredient Confirm'!$B$1:$F$406,2,FALSE)</f>
        <v>package</v>
      </c>
    </row>
    <row r="202" spans="2:7" x14ac:dyDescent="0.25">
      <c r="B202">
        <f t="shared" ca="1" si="6"/>
        <v>39</v>
      </c>
      <c r="C202" t="str">
        <f>randomselection('Ingredient Confirm'!$B$2:$B$406)</f>
        <v>cabbage</v>
      </c>
      <c r="D202">
        <f t="shared" ca="1" si="7"/>
        <v>1</v>
      </c>
      <c r="E202">
        <f ca="1">VLOOKUP(B202,Dish!$A$1:$C$91,3,FALSE)</f>
        <v>13</v>
      </c>
      <c r="F202" t="e">
        <f>VLOOKUP(C202,'Ingredient Confirm'!$B$1:$F$406,6,FALSE)</f>
        <v>#REF!</v>
      </c>
      <c r="G202" t="str">
        <f>VLOOKUP(C202,'Ingredient Confirm'!$B$1:$F$406,2,FALSE)</f>
        <v>piece</v>
      </c>
    </row>
    <row r="203" spans="2:7" x14ac:dyDescent="0.25">
      <c r="B203">
        <f t="shared" ca="1" si="6"/>
        <v>85</v>
      </c>
      <c r="C203" t="str">
        <f>randomselection('Ingredient Confirm'!$B$2:$B$406)</f>
        <v>red pepper flakes</v>
      </c>
      <c r="D203">
        <f t="shared" ca="1" si="7"/>
        <v>2</v>
      </c>
      <c r="E203">
        <f ca="1">VLOOKUP(B203,Dish!$A$1:$C$91,3,FALSE)</f>
        <v>10</v>
      </c>
      <c r="F203" t="e">
        <f>VLOOKUP(C203,'Ingredient Confirm'!$B$1:$F$406,6,FALSE)</f>
        <v>#REF!</v>
      </c>
      <c r="G203" t="str">
        <f>VLOOKUP(C203,'Ingredient Confirm'!$B$1:$F$406,2,FALSE)</f>
        <v>package</v>
      </c>
    </row>
    <row r="204" spans="2:7" x14ac:dyDescent="0.25">
      <c r="B204">
        <f t="shared" ca="1" si="6"/>
        <v>71</v>
      </c>
      <c r="C204" t="str">
        <f>randomselection('Ingredient Confirm'!$B$2:$B$406)</f>
        <v>feta cheese</v>
      </c>
      <c r="D204">
        <f t="shared" ca="1" si="7"/>
        <v>2</v>
      </c>
      <c r="E204">
        <f ca="1">VLOOKUP(B204,Dish!$A$1:$C$91,3,FALSE)</f>
        <v>15</v>
      </c>
      <c r="F204" t="e">
        <f>VLOOKUP(C204,'Ingredient Confirm'!$B$1:$F$406,6,FALSE)</f>
        <v>#REF!</v>
      </c>
      <c r="G204" t="str">
        <f>VLOOKUP(C204,'Ingredient Confirm'!$B$1:$F$406,2,FALSE)</f>
        <v>package</v>
      </c>
    </row>
    <row r="205" spans="2:7" x14ac:dyDescent="0.25">
      <c r="B205">
        <f t="shared" ca="1" si="6"/>
        <v>94</v>
      </c>
      <c r="C205" t="str">
        <f>randomselection('Ingredient Confirm'!$B$2:$B$406)</f>
        <v>coconut oil</v>
      </c>
      <c r="D205">
        <f t="shared" ca="1" si="7"/>
        <v>2</v>
      </c>
      <c r="E205">
        <f ca="1">VLOOKUP(B205,Dish!$A$1:$C$91,3,FALSE)</f>
        <v>12</v>
      </c>
      <c r="F205" t="e">
        <f>VLOOKUP(C205,'Ingredient Confirm'!$B$1:$F$406,6,FALSE)</f>
        <v>#REF!</v>
      </c>
      <c r="G205" t="str">
        <f>VLOOKUP(C205,'Ingredient Confirm'!$B$1:$F$406,2,FALSE)</f>
        <v>bottle</v>
      </c>
    </row>
    <row r="206" spans="2:7" x14ac:dyDescent="0.25">
      <c r="B206">
        <f t="shared" ca="1" si="6"/>
        <v>63</v>
      </c>
      <c r="C206" t="str">
        <f>randomselection('Ingredient Confirm'!$B$2:$B$406)</f>
        <v>corn</v>
      </c>
      <c r="D206">
        <f t="shared" ca="1" si="7"/>
        <v>2</v>
      </c>
      <c r="E206">
        <f ca="1">VLOOKUP(B206,Dish!$A$1:$C$91,3,FALSE)</f>
        <v>4</v>
      </c>
      <c r="F206" t="e">
        <f>VLOOKUP(C206,'Ingredient Confirm'!$B$1:$F$406,6,FALSE)</f>
        <v>#REF!</v>
      </c>
      <c r="G206" t="str">
        <f>VLOOKUP(C206,'Ingredient Confirm'!$B$1:$F$406,2,FALSE)</f>
        <v>can</v>
      </c>
    </row>
    <row r="207" spans="2:7" x14ac:dyDescent="0.25">
      <c r="B207">
        <f t="shared" ca="1" si="6"/>
        <v>42</v>
      </c>
      <c r="C207" t="str">
        <f>randomselection('Ingredient Confirm'!$B$2:$B$406)</f>
        <v>hamburger</v>
      </c>
      <c r="D207">
        <f t="shared" ca="1" si="7"/>
        <v>1</v>
      </c>
      <c r="E207">
        <f ca="1">VLOOKUP(B207,Dish!$A$1:$C$91,3,FALSE)</f>
        <v>13</v>
      </c>
      <c r="F207" t="e">
        <f>VLOOKUP(C207,'Ingredient Confirm'!$B$1:$F$406,6,FALSE)</f>
        <v>#REF!</v>
      </c>
      <c r="G207" t="str">
        <f>VLOOKUP(C207,'Ingredient Confirm'!$B$1:$F$406,2,FALSE)</f>
        <v>piece</v>
      </c>
    </row>
    <row r="208" spans="2:7" x14ac:dyDescent="0.25">
      <c r="B208">
        <f t="shared" ca="1" si="6"/>
        <v>91</v>
      </c>
      <c r="C208" t="str">
        <f>randomselection('Ingredient Confirm'!$B$2:$B$406)</f>
        <v>plantains</v>
      </c>
      <c r="D208">
        <f t="shared" ca="1" si="7"/>
        <v>1</v>
      </c>
      <c r="E208">
        <f ca="1">VLOOKUP(B208,Dish!$A$1:$C$91,3,FALSE)</f>
        <v>6</v>
      </c>
      <c r="F208" t="e">
        <f>VLOOKUP(C208,'Ingredient Confirm'!$B$1:$F$406,6,FALSE)</f>
        <v>#REF!</v>
      </c>
      <c r="G208" t="str">
        <f>VLOOKUP(C208,'Ingredient Confirm'!$B$1:$F$406,2,FALSE)</f>
        <v>can</v>
      </c>
    </row>
    <row r="209" spans="2:7" x14ac:dyDescent="0.25">
      <c r="B209">
        <f t="shared" ca="1" si="6"/>
        <v>85</v>
      </c>
      <c r="C209" t="str">
        <f>randomselection('Ingredient Confirm'!$B$2:$B$406)</f>
        <v>black-eyed peas</v>
      </c>
      <c r="D209">
        <f t="shared" ca="1" si="7"/>
        <v>1</v>
      </c>
      <c r="E209">
        <f ca="1">VLOOKUP(B209,Dish!$A$1:$C$91,3,FALSE)</f>
        <v>10</v>
      </c>
      <c r="F209" t="e">
        <f>VLOOKUP(C209,'Ingredient Confirm'!$B$1:$F$406,6,FALSE)</f>
        <v>#REF!</v>
      </c>
      <c r="G209" t="str">
        <f>VLOOKUP(C209,'Ingredient Confirm'!$B$1:$F$406,2,FALSE)</f>
        <v>can</v>
      </c>
    </row>
    <row r="210" spans="2:7" x14ac:dyDescent="0.25">
      <c r="B210">
        <f t="shared" ca="1" si="6"/>
        <v>26</v>
      </c>
      <c r="C210" t="str">
        <f>randomselection('Ingredient Confirm'!$B$2:$B$406)</f>
        <v>tea</v>
      </c>
      <c r="D210">
        <f t="shared" ca="1" si="7"/>
        <v>1</v>
      </c>
      <c r="E210">
        <f ca="1">VLOOKUP(B210,Dish!$A$1:$C$91,3,FALSE)</f>
        <v>9</v>
      </c>
      <c r="F210" t="e">
        <f>VLOOKUP(C210,'Ingredient Confirm'!$B$1:$F$406,6,FALSE)</f>
        <v>#REF!</v>
      </c>
      <c r="G210" t="str">
        <f>VLOOKUP(C210,'Ingredient Confirm'!$B$1:$F$406,2,FALSE)</f>
        <v>package</v>
      </c>
    </row>
    <row r="211" spans="2:7" x14ac:dyDescent="0.25">
      <c r="B211">
        <f t="shared" ca="1" si="6"/>
        <v>96</v>
      </c>
      <c r="C211" t="str">
        <f>randomselection('Ingredient Confirm'!$B$2:$B$406)</f>
        <v>ale</v>
      </c>
      <c r="D211">
        <f t="shared" ca="1" si="7"/>
        <v>2</v>
      </c>
      <c r="E211">
        <f ca="1">VLOOKUP(B211,Dish!$A$1:$C$91,3,FALSE)</f>
        <v>3</v>
      </c>
      <c r="F211" t="e">
        <f>VLOOKUP(C211,'Ingredient Confirm'!$B$1:$F$406,6,FALSE)</f>
        <v>#REF!</v>
      </c>
      <c r="G211" t="str">
        <f>VLOOKUP(C211,'Ingredient Confirm'!$B$1:$F$406,2,FALSE)</f>
        <v>package</v>
      </c>
    </row>
    <row r="212" spans="2:7" x14ac:dyDescent="0.25">
      <c r="B212">
        <f t="shared" ca="1" si="6"/>
        <v>51</v>
      </c>
      <c r="C212" t="str">
        <f>randomselection('Ingredient Confirm'!$B$2:$B$406)</f>
        <v>lobsters</v>
      </c>
      <c r="D212">
        <f t="shared" ca="1" si="7"/>
        <v>2</v>
      </c>
      <c r="E212">
        <f ca="1">VLOOKUP(B212,Dish!$A$1:$C$91,3,FALSE)</f>
        <v>15</v>
      </c>
      <c r="F212" t="e">
        <f>VLOOKUP(C212,'Ingredient Confirm'!$B$1:$F$406,6,FALSE)</f>
        <v>#REF!</v>
      </c>
      <c r="G212" t="str">
        <f>VLOOKUP(C212,'Ingredient Confirm'!$B$1:$F$406,2,FALSE)</f>
        <v>piece</v>
      </c>
    </row>
    <row r="213" spans="2:7" x14ac:dyDescent="0.25">
      <c r="B213">
        <f t="shared" ca="1" si="6"/>
        <v>29</v>
      </c>
      <c r="C213" t="str">
        <f>randomselection('Ingredient Confirm'!$B$2:$B$406)</f>
        <v>hot sauce</v>
      </c>
      <c r="D213">
        <f t="shared" ca="1" si="7"/>
        <v>1</v>
      </c>
      <c r="E213">
        <f ca="1">VLOOKUP(B213,Dish!$A$1:$C$91,3,FALSE)</f>
        <v>9</v>
      </c>
      <c r="F213" t="e">
        <f>VLOOKUP(C213,'Ingredient Confirm'!$B$1:$F$406,6,FALSE)</f>
        <v>#REF!</v>
      </c>
      <c r="G213" t="str">
        <f>VLOOKUP(C213,'Ingredient Confirm'!$B$1:$F$406,2,FALSE)</f>
        <v>can</v>
      </c>
    </row>
    <row r="214" spans="2:7" x14ac:dyDescent="0.25">
      <c r="B214">
        <f t="shared" ca="1" si="6"/>
        <v>23</v>
      </c>
      <c r="C214" t="str">
        <f>randomselection('Ingredient Confirm'!$B$2:$B$406)</f>
        <v>feta cheese</v>
      </c>
      <c r="D214">
        <f t="shared" ca="1" si="7"/>
        <v>2</v>
      </c>
      <c r="E214">
        <f ca="1">VLOOKUP(B214,Dish!$A$1:$C$91,3,FALSE)</f>
        <v>2</v>
      </c>
      <c r="F214" t="e">
        <f>VLOOKUP(C214,'Ingredient Confirm'!$B$1:$F$406,6,FALSE)</f>
        <v>#REF!</v>
      </c>
      <c r="G214" t="str">
        <f>VLOOKUP(C214,'Ingredient Confirm'!$B$1:$F$406,2,FALSE)</f>
        <v>package</v>
      </c>
    </row>
    <row r="215" spans="2:7" x14ac:dyDescent="0.25">
      <c r="B215">
        <f t="shared" ca="1" si="6"/>
        <v>46</v>
      </c>
      <c r="C215" t="str">
        <f>randomselection('Ingredient Confirm'!$B$2:$B$406)</f>
        <v>flax seed</v>
      </c>
      <c r="D215">
        <f t="shared" ca="1" si="7"/>
        <v>2</v>
      </c>
      <c r="E215">
        <f ca="1">VLOOKUP(B215,Dish!$A$1:$C$91,3,FALSE)</f>
        <v>2</v>
      </c>
      <c r="F215" t="e">
        <f>VLOOKUP(C215,'Ingredient Confirm'!$B$1:$F$406,6,FALSE)</f>
        <v>#REF!</v>
      </c>
      <c r="G215" t="str">
        <f>VLOOKUP(C215,'Ingredient Confirm'!$B$1:$F$406,2,FALSE)</f>
        <v>can</v>
      </c>
    </row>
    <row r="216" spans="2:7" x14ac:dyDescent="0.25">
      <c r="B216">
        <f t="shared" ca="1" si="6"/>
        <v>12</v>
      </c>
      <c r="C216" t="str">
        <f>randomselection('Ingredient Confirm'!$B$2:$B$406)</f>
        <v>ale</v>
      </c>
      <c r="D216">
        <f t="shared" ca="1" si="7"/>
        <v>2</v>
      </c>
      <c r="E216">
        <f ca="1">VLOOKUP(B216,Dish!$A$1:$C$91,3,FALSE)</f>
        <v>14</v>
      </c>
      <c r="F216" t="e">
        <f>VLOOKUP(C216,'Ingredient Confirm'!$B$1:$F$406,6,FALSE)</f>
        <v>#REF!</v>
      </c>
      <c r="G216" t="str">
        <f>VLOOKUP(C216,'Ingredient Confirm'!$B$1:$F$406,2,FALSE)</f>
        <v>package</v>
      </c>
    </row>
    <row r="217" spans="2:7" x14ac:dyDescent="0.25">
      <c r="B217">
        <f t="shared" ca="1" si="6"/>
        <v>84</v>
      </c>
      <c r="C217" t="str">
        <f>randomselection('Ingredient Confirm'!$B$2:$B$406)</f>
        <v>pinto beans</v>
      </c>
      <c r="D217">
        <f t="shared" ca="1" si="7"/>
        <v>1</v>
      </c>
      <c r="E217">
        <f ca="1">VLOOKUP(B217,Dish!$A$1:$C$91,3,FALSE)</f>
        <v>14</v>
      </c>
      <c r="F217" t="e">
        <f>VLOOKUP(C217,'Ingredient Confirm'!$B$1:$F$406,6,FALSE)</f>
        <v>#REF!</v>
      </c>
      <c r="G217" t="str">
        <f>VLOOKUP(C217,'Ingredient Confirm'!$B$1:$F$406,2,FALSE)</f>
        <v>can</v>
      </c>
    </row>
    <row r="218" spans="2:7" x14ac:dyDescent="0.25">
      <c r="B218">
        <f t="shared" ca="1" si="6"/>
        <v>64</v>
      </c>
      <c r="C218" t="str">
        <f>randomselection('Ingredient Confirm'!$B$2:$B$406)</f>
        <v>cream cheese</v>
      </c>
      <c r="D218">
        <f t="shared" ca="1" si="7"/>
        <v>1</v>
      </c>
      <c r="E218">
        <f ca="1">VLOOKUP(B218,Dish!$A$1:$C$91,3,FALSE)</f>
        <v>14</v>
      </c>
      <c r="F218" t="e">
        <f>VLOOKUP(C218,'Ingredient Confirm'!$B$1:$F$406,6,FALSE)</f>
        <v>#REF!</v>
      </c>
      <c r="G218" t="str">
        <f>VLOOKUP(C218,'Ingredient Confirm'!$B$1:$F$406,2,FALSE)</f>
        <v>package</v>
      </c>
    </row>
    <row r="219" spans="2:7" x14ac:dyDescent="0.25">
      <c r="B219">
        <f t="shared" ca="1" si="6"/>
        <v>29</v>
      </c>
      <c r="C219" t="str">
        <f>randomselection('Ingredient Confirm'!$B$2:$B$406)</f>
        <v>gelatin</v>
      </c>
      <c r="D219">
        <f t="shared" ca="1" si="7"/>
        <v>1</v>
      </c>
      <c r="E219">
        <f ca="1">VLOOKUP(B219,Dish!$A$1:$C$91,3,FALSE)</f>
        <v>9</v>
      </c>
      <c r="F219" t="e">
        <f>VLOOKUP(C219,'Ingredient Confirm'!$B$1:$F$406,6,FALSE)</f>
        <v>#REF!</v>
      </c>
      <c r="G219" t="str">
        <f>VLOOKUP(C219,'Ingredient Confirm'!$B$1:$F$406,2,FALSE)</f>
        <v>can</v>
      </c>
    </row>
    <row r="220" spans="2:7" x14ac:dyDescent="0.25">
      <c r="B220">
        <f t="shared" ca="1" si="6"/>
        <v>52</v>
      </c>
      <c r="C220" t="str">
        <f>randomselection('Ingredient Confirm'!$B$2:$B$406)</f>
        <v>blue cheese</v>
      </c>
      <c r="D220">
        <f t="shared" ca="1" si="7"/>
        <v>2</v>
      </c>
      <c r="E220">
        <f ca="1">VLOOKUP(B220,Dish!$A$1:$C$91,3,FALSE)</f>
        <v>8</v>
      </c>
      <c r="F220" t="e">
        <f>VLOOKUP(C220,'Ingredient Confirm'!$B$1:$F$406,6,FALSE)</f>
        <v>#REF!</v>
      </c>
      <c r="G220" t="str">
        <f>VLOOKUP(C220,'Ingredient Confirm'!$B$1:$F$406,2,FALSE)</f>
        <v>package</v>
      </c>
    </row>
    <row r="221" spans="2:7" x14ac:dyDescent="0.25">
      <c r="B221">
        <f t="shared" ca="1" si="6"/>
        <v>62</v>
      </c>
      <c r="C221" t="str">
        <f>randomselection('Ingredient Confirm'!$B$2:$B$406)</f>
        <v>beets</v>
      </c>
      <c r="D221">
        <f t="shared" ca="1" si="7"/>
        <v>1</v>
      </c>
      <c r="E221">
        <f ca="1">VLOOKUP(B221,Dish!$A$1:$C$91,3,FALSE)</f>
        <v>4</v>
      </c>
      <c r="F221" t="e">
        <f>VLOOKUP(C221,'Ingredient Confirm'!$B$1:$F$406,6,FALSE)</f>
        <v>#REF!</v>
      </c>
      <c r="G221" t="str">
        <f>VLOOKUP(C221,'Ingredient Confirm'!$B$1:$F$406,2,FALSE)</f>
        <v>can</v>
      </c>
    </row>
    <row r="222" spans="2:7" x14ac:dyDescent="0.25">
      <c r="B222">
        <f t="shared" ca="1" si="6"/>
        <v>45</v>
      </c>
      <c r="C222" t="str">
        <f>randomselection('Ingredient Confirm'!$B$2:$B$406)</f>
        <v>grouper</v>
      </c>
      <c r="D222">
        <f t="shared" ca="1" si="7"/>
        <v>2</v>
      </c>
      <c r="E222">
        <f ca="1">VLOOKUP(B222,Dish!$A$1:$C$91,3,FALSE)</f>
        <v>13</v>
      </c>
      <c r="F222" t="e">
        <f>VLOOKUP(C222,'Ingredient Confirm'!$B$1:$F$406,6,FALSE)</f>
        <v>#REF!</v>
      </c>
      <c r="G222" t="str">
        <f>VLOOKUP(C222,'Ingredient Confirm'!$B$1:$F$406,2,FALSE)</f>
        <v>piece</v>
      </c>
    </row>
    <row r="223" spans="2:7" x14ac:dyDescent="0.25">
      <c r="B223">
        <f t="shared" ca="1" si="6"/>
        <v>46</v>
      </c>
      <c r="C223" t="str">
        <f>randomselection('Ingredient Confirm'!$B$2:$B$406)</f>
        <v>fennel</v>
      </c>
      <c r="D223">
        <f t="shared" ca="1" si="7"/>
        <v>1</v>
      </c>
      <c r="E223">
        <f ca="1">VLOOKUP(B223,Dish!$A$1:$C$91,3,FALSE)</f>
        <v>2</v>
      </c>
      <c r="F223" t="e">
        <f>VLOOKUP(C223,'Ingredient Confirm'!$B$1:$F$406,6,FALSE)</f>
        <v>#REF!</v>
      </c>
      <c r="G223" t="str">
        <f>VLOOKUP(C223,'Ingredient Confirm'!$B$1:$F$406,2,FALSE)</f>
        <v>can</v>
      </c>
    </row>
    <row r="224" spans="2:7" x14ac:dyDescent="0.25">
      <c r="B224">
        <f t="shared" ref="B224:B287" ca="1" si="8">RANDBETWEEN(7,96)</f>
        <v>22</v>
      </c>
      <c r="C224" t="str">
        <f>randomselection('Ingredient Confirm'!$B$2:$B$406)</f>
        <v>hash browns</v>
      </c>
      <c r="D224">
        <f t="shared" ref="D224:D287" ca="1" si="9">RANDBETWEEN(1,2)</f>
        <v>1</v>
      </c>
      <c r="E224">
        <f ca="1">VLOOKUP(B224,Dish!$A$1:$C$91,3,FALSE)</f>
        <v>12</v>
      </c>
      <c r="F224" t="e">
        <f>VLOOKUP(C224,'Ingredient Confirm'!$B$1:$F$406,6,FALSE)</f>
        <v>#REF!</v>
      </c>
      <c r="G224" t="str">
        <f>VLOOKUP(C224,'Ingredient Confirm'!$B$1:$F$406,2,FALSE)</f>
        <v>package</v>
      </c>
    </row>
    <row r="225" spans="2:7" x14ac:dyDescent="0.25">
      <c r="B225">
        <f t="shared" ca="1" si="8"/>
        <v>65</v>
      </c>
      <c r="C225" t="str">
        <f>randomselection('Ingredient Confirm'!$B$2:$B$406)</f>
        <v>salmon</v>
      </c>
      <c r="D225">
        <f t="shared" ca="1" si="9"/>
        <v>1</v>
      </c>
      <c r="E225">
        <f ca="1">VLOOKUP(B225,Dish!$A$1:$C$91,3,FALSE)</f>
        <v>2</v>
      </c>
      <c r="F225" t="e">
        <f>VLOOKUP(C225,'Ingredient Confirm'!$B$1:$F$406,6,FALSE)</f>
        <v>#REF!</v>
      </c>
      <c r="G225" t="str">
        <f>VLOOKUP(C225,'Ingredient Confirm'!$B$1:$F$406,2,FALSE)</f>
        <v>piece</v>
      </c>
    </row>
    <row r="226" spans="2:7" x14ac:dyDescent="0.25">
      <c r="B226">
        <f t="shared" ca="1" si="8"/>
        <v>88</v>
      </c>
      <c r="C226" t="str">
        <f>randomselection('Ingredient Confirm'!$B$2:$B$406)</f>
        <v>lobsters</v>
      </c>
      <c r="D226">
        <f t="shared" ca="1" si="9"/>
        <v>2</v>
      </c>
      <c r="E226">
        <f ca="1">VLOOKUP(B226,Dish!$A$1:$C$91,3,FALSE)</f>
        <v>2</v>
      </c>
      <c r="F226" t="e">
        <f>VLOOKUP(C226,'Ingredient Confirm'!$B$1:$F$406,6,FALSE)</f>
        <v>#REF!</v>
      </c>
      <c r="G226" t="str">
        <f>VLOOKUP(C226,'Ingredient Confirm'!$B$1:$F$406,2,FALSE)</f>
        <v>piece</v>
      </c>
    </row>
    <row r="227" spans="2:7" x14ac:dyDescent="0.25">
      <c r="B227">
        <f t="shared" ca="1" si="8"/>
        <v>85</v>
      </c>
      <c r="C227" t="str">
        <f>randomselection('Ingredient Confirm'!$B$2:$B$406)</f>
        <v>steak</v>
      </c>
      <c r="D227">
        <f t="shared" ca="1" si="9"/>
        <v>2</v>
      </c>
      <c r="E227">
        <f ca="1">VLOOKUP(B227,Dish!$A$1:$C$91,3,FALSE)</f>
        <v>10</v>
      </c>
      <c r="F227" t="e">
        <f>VLOOKUP(C227,'Ingredient Confirm'!$B$1:$F$406,6,FALSE)</f>
        <v>#REF!</v>
      </c>
      <c r="G227" t="str">
        <f>VLOOKUP(C227,'Ingredient Confirm'!$B$1:$F$406,2,FALSE)</f>
        <v>piece</v>
      </c>
    </row>
    <row r="228" spans="2:7" x14ac:dyDescent="0.25">
      <c r="B228">
        <f t="shared" ca="1" si="8"/>
        <v>63</v>
      </c>
      <c r="C228" t="str">
        <f>randomselection('Ingredient Confirm'!$B$2:$B$406)</f>
        <v>mackerel</v>
      </c>
      <c r="D228">
        <f t="shared" ca="1" si="9"/>
        <v>1</v>
      </c>
      <c r="E228">
        <f ca="1">VLOOKUP(B228,Dish!$A$1:$C$91,3,FALSE)</f>
        <v>4</v>
      </c>
      <c r="F228" t="e">
        <f>VLOOKUP(C228,'Ingredient Confirm'!$B$1:$F$406,6,FALSE)</f>
        <v>#REF!</v>
      </c>
      <c r="G228" t="str">
        <f>VLOOKUP(C228,'Ingredient Confirm'!$B$1:$F$406,2,FALSE)</f>
        <v>piece</v>
      </c>
    </row>
    <row r="229" spans="2:7" x14ac:dyDescent="0.25">
      <c r="B229">
        <f t="shared" ca="1" si="8"/>
        <v>21</v>
      </c>
      <c r="C229" t="str">
        <f>randomselection('Ingredient Confirm'!$B$2:$B$406)</f>
        <v>sauerkraut</v>
      </c>
      <c r="D229">
        <f t="shared" ca="1" si="9"/>
        <v>2</v>
      </c>
      <c r="E229">
        <f ca="1">VLOOKUP(B229,Dish!$A$1:$C$91,3,FALSE)</f>
        <v>10</v>
      </c>
      <c r="F229" t="e">
        <f>VLOOKUP(C229,'Ingredient Confirm'!$B$1:$F$406,6,FALSE)</f>
        <v>#REF!</v>
      </c>
      <c r="G229" t="str">
        <f>VLOOKUP(C229,'Ingredient Confirm'!$B$1:$F$406,2,FALSE)</f>
        <v>can</v>
      </c>
    </row>
    <row r="230" spans="2:7" x14ac:dyDescent="0.25">
      <c r="B230">
        <f t="shared" ca="1" si="8"/>
        <v>9</v>
      </c>
      <c r="C230" t="str">
        <f>randomselection('Ingredient Confirm'!$B$2:$B$406)</f>
        <v>plantains</v>
      </c>
      <c r="D230">
        <f t="shared" ca="1" si="9"/>
        <v>1</v>
      </c>
      <c r="E230">
        <f ca="1">VLOOKUP(B230,Dish!$A$1:$C$91,3,FALSE)</f>
        <v>7</v>
      </c>
      <c r="F230" t="e">
        <f>VLOOKUP(C230,'Ingredient Confirm'!$B$1:$F$406,6,FALSE)</f>
        <v>#REF!</v>
      </c>
      <c r="G230" t="str">
        <f>VLOOKUP(C230,'Ingredient Confirm'!$B$1:$F$406,2,FALSE)</f>
        <v>can</v>
      </c>
    </row>
    <row r="231" spans="2:7" x14ac:dyDescent="0.25">
      <c r="B231">
        <f t="shared" ca="1" si="8"/>
        <v>68</v>
      </c>
      <c r="C231" t="str">
        <f>randomselection('Ingredient Confirm'!$B$2:$B$406)</f>
        <v>poppy seeds</v>
      </c>
      <c r="D231">
        <f t="shared" ca="1" si="9"/>
        <v>2</v>
      </c>
      <c r="E231">
        <f ca="1">VLOOKUP(B231,Dish!$A$1:$C$91,3,FALSE)</f>
        <v>2</v>
      </c>
      <c r="F231" t="e">
        <f>VLOOKUP(C231,'Ingredient Confirm'!$B$1:$F$406,6,FALSE)</f>
        <v>#REF!</v>
      </c>
      <c r="G231" t="str">
        <f>VLOOKUP(C231,'Ingredient Confirm'!$B$1:$F$406,2,FALSE)</f>
        <v>can</v>
      </c>
    </row>
    <row r="232" spans="2:7" x14ac:dyDescent="0.25">
      <c r="B232">
        <f t="shared" ca="1" si="8"/>
        <v>72</v>
      </c>
      <c r="C232" t="str">
        <f>randomselection('Ingredient Confirm'!$B$2:$B$406)</f>
        <v>ricotta cheese</v>
      </c>
      <c r="D232">
        <f t="shared" ca="1" si="9"/>
        <v>2</v>
      </c>
      <c r="E232">
        <f ca="1">VLOOKUP(B232,Dish!$A$1:$C$91,3,FALSE)</f>
        <v>3</v>
      </c>
      <c r="F232" t="e">
        <f>VLOOKUP(C232,'Ingredient Confirm'!$B$1:$F$406,6,FALSE)</f>
        <v>#REF!</v>
      </c>
      <c r="G232" t="str">
        <f>VLOOKUP(C232,'Ingredient Confirm'!$B$1:$F$406,2,FALSE)</f>
        <v>package</v>
      </c>
    </row>
    <row r="233" spans="2:7" x14ac:dyDescent="0.25">
      <c r="B233">
        <f t="shared" ca="1" si="8"/>
        <v>16</v>
      </c>
      <c r="C233" t="str">
        <f>randomselection('Ingredient Confirm'!$B$2:$B$406)</f>
        <v>lobsters</v>
      </c>
      <c r="D233">
        <f t="shared" ca="1" si="9"/>
        <v>2</v>
      </c>
      <c r="E233">
        <f ca="1">VLOOKUP(B233,Dish!$A$1:$C$91,3,FALSE)</f>
        <v>9</v>
      </c>
      <c r="F233" t="e">
        <f>VLOOKUP(C233,'Ingredient Confirm'!$B$1:$F$406,6,FALSE)</f>
        <v>#REF!</v>
      </c>
      <c r="G233" t="str">
        <f>VLOOKUP(C233,'Ingredient Confirm'!$B$1:$F$406,2,FALSE)</f>
        <v>piece</v>
      </c>
    </row>
    <row r="234" spans="2:7" x14ac:dyDescent="0.25">
      <c r="B234">
        <f t="shared" ca="1" si="8"/>
        <v>76</v>
      </c>
      <c r="C234" t="str">
        <f>randomselection('Ingredient Confirm'!$B$2:$B$406)</f>
        <v>colby cheese</v>
      </c>
      <c r="D234">
        <f t="shared" ca="1" si="9"/>
        <v>1</v>
      </c>
      <c r="E234">
        <f ca="1">VLOOKUP(B234,Dish!$A$1:$C$91,3,FALSE)</f>
        <v>12</v>
      </c>
      <c r="F234" t="e">
        <f>VLOOKUP(C234,'Ingredient Confirm'!$B$1:$F$406,6,FALSE)</f>
        <v>#REF!</v>
      </c>
      <c r="G234" t="str">
        <f>VLOOKUP(C234,'Ingredient Confirm'!$B$1:$F$406,2,FALSE)</f>
        <v>package</v>
      </c>
    </row>
    <row r="235" spans="2:7" x14ac:dyDescent="0.25">
      <c r="B235">
        <f t="shared" ca="1" si="8"/>
        <v>40</v>
      </c>
      <c r="C235" t="str">
        <f>randomselection('Ingredient Confirm'!$B$2:$B$406)</f>
        <v>acorn squash</v>
      </c>
      <c r="D235">
        <f t="shared" ca="1" si="9"/>
        <v>1</v>
      </c>
      <c r="E235">
        <f ca="1">VLOOKUP(B235,Dish!$A$1:$C$91,3,FALSE)</f>
        <v>9</v>
      </c>
      <c r="F235" t="e">
        <f>VLOOKUP(C235,'Ingredient Confirm'!$B$1:$F$406,6,FALSE)</f>
        <v>#REF!</v>
      </c>
      <c r="G235" t="str">
        <f>VLOOKUP(C235,'Ingredient Confirm'!$B$1:$F$406,2,FALSE)</f>
        <v>package</v>
      </c>
    </row>
    <row r="236" spans="2:7" x14ac:dyDescent="0.25">
      <c r="B236">
        <f t="shared" ca="1" si="8"/>
        <v>16</v>
      </c>
      <c r="C236" t="str">
        <f>randomselection('Ingredient Confirm'!$B$2:$B$406)</f>
        <v>colby cheese</v>
      </c>
      <c r="D236">
        <f t="shared" ca="1" si="9"/>
        <v>1</v>
      </c>
      <c r="E236">
        <f ca="1">VLOOKUP(B236,Dish!$A$1:$C$91,3,FALSE)</f>
        <v>9</v>
      </c>
      <c r="F236" t="e">
        <f>VLOOKUP(C236,'Ingredient Confirm'!$B$1:$F$406,6,FALSE)</f>
        <v>#REF!</v>
      </c>
      <c r="G236" t="str">
        <f>VLOOKUP(C236,'Ingredient Confirm'!$B$1:$F$406,2,FALSE)</f>
        <v>package</v>
      </c>
    </row>
    <row r="237" spans="2:7" x14ac:dyDescent="0.25">
      <c r="B237">
        <f t="shared" ca="1" si="8"/>
        <v>96</v>
      </c>
      <c r="C237" t="str">
        <f>randomselection('Ingredient Confirm'!$B$2:$B$406)</f>
        <v>bay leaves</v>
      </c>
      <c r="D237">
        <f t="shared" ca="1" si="9"/>
        <v>2</v>
      </c>
      <c r="E237">
        <f ca="1">VLOOKUP(B237,Dish!$A$1:$C$91,3,FALSE)</f>
        <v>3</v>
      </c>
      <c r="F237" t="e">
        <f>VLOOKUP(C237,'Ingredient Confirm'!$B$1:$F$406,6,FALSE)</f>
        <v>#REF!</v>
      </c>
      <c r="G237" t="str">
        <f>VLOOKUP(C237,'Ingredient Confirm'!$B$1:$F$406,2,FALSE)</f>
        <v>can</v>
      </c>
    </row>
    <row r="238" spans="2:7" x14ac:dyDescent="0.25">
      <c r="B238">
        <f t="shared" ca="1" si="8"/>
        <v>19</v>
      </c>
      <c r="C238" t="str">
        <f>randomselection('Ingredient Confirm'!$B$2:$B$406)</f>
        <v>red pepper flakes</v>
      </c>
      <c r="D238">
        <f t="shared" ca="1" si="9"/>
        <v>1</v>
      </c>
      <c r="E238">
        <f ca="1">VLOOKUP(B238,Dish!$A$1:$C$91,3,FALSE)</f>
        <v>13</v>
      </c>
      <c r="F238" t="e">
        <f>VLOOKUP(C238,'Ingredient Confirm'!$B$1:$F$406,6,FALSE)</f>
        <v>#REF!</v>
      </c>
      <c r="G238" t="str">
        <f>VLOOKUP(C238,'Ingredient Confirm'!$B$1:$F$406,2,FALSE)</f>
        <v>package</v>
      </c>
    </row>
    <row r="239" spans="2:7" x14ac:dyDescent="0.25">
      <c r="B239">
        <f t="shared" ca="1" si="8"/>
        <v>33</v>
      </c>
      <c r="C239" t="str">
        <f>randomselection('Ingredient Confirm'!$B$2:$B$406)</f>
        <v>red pepper flakes</v>
      </c>
      <c r="D239">
        <f t="shared" ca="1" si="9"/>
        <v>2</v>
      </c>
      <c r="E239">
        <f ca="1">VLOOKUP(B239,Dish!$A$1:$C$91,3,FALSE)</f>
        <v>14</v>
      </c>
      <c r="F239" t="e">
        <f>VLOOKUP(C239,'Ingredient Confirm'!$B$1:$F$406,6,FALSE)</f>
        <v>#REF!</v>
      </c>
      <c r="G239" t="str">
        <f>VLOOKUP(C239,'Ingredient Confirm'!$B$1:$F$406,2,FALSE)</f>
        <v>package</v>
      </c>
    </row>
    <row r="240" spans="2:7" x14ac:dyDescent="0.25">
      <c r="B240">
        <f t="shared" ca="1" si="8"/>
        <v>96</v>
      </c>
      <c r="C240" t="str">
        <f>randomselection('Ingredient Confirm'!$B$2:$B$406)</f>
        <v>cabbage</v>
      </c>
      <c r="D240">
        <f t="shared" ca="1" si="9"/>
        <v>2</v>
      </c>
      <c r="E240">
        <f ca="1">VLOOKUP(B240,Dish!$A$1:$C$91,3,FALSE)</f>
        <v>3</v>
      </c>
      <c r="F240" t="e">
        <f>VLOOKUP(C240,'Ingredient Confirm'!$B$1:$F$406,6,FALSE)</f>
        <v>#REF!</v>
      </c>
      <c r="G240" t="str">
        <f>VLOOKUP(C240,'Ingredient Confirm'!$B$1:$F$406,2,FALSE)</f>
        <v>piece</v>
      </c>
    </row>
    <row r="241" spans="2:7" x14ac:dyDescent="0.25">
      <c r="B241">
        <f t="shared" ca="1" si="8"/>
        <v>55</v>
      </c>
      <c r="C241" t="str">
        <f>randomselection('Ingredient Confirm'!$B$2:$B$406)</f>
        <v>rose water</v>
      </c>
      <c r="D241">
        <f t="shared" ca="1" si="9"/>
        <v>1</v>
      </c>
      <c r="E241">
        <f ca="1">VLOOKUP(B241,Dish!$A$1:$C$91,3,FALSE)</f>
        <v>5</v>
      </c>
      <c r="F241" t="e">
        <f>VLOOKUP(C241,'Ingredient Confirm'!$B$1:$F$406,6,FALSE)</f>
        <v>#REF!</v>
      </c>
      <c r="G241" t="str">
        <f>VLOOKUP(C241,'Ingredient Confirm'!$B$1:$F$406,2,FALSE)</f>
        <v>bottle</v>
      </c>
    </row>
    <row r="242" spans="2:7" x14ac:dyDescent="0.25">
      <c r="B242">
        <f t="shared" ca="1" si="8"/>
        <v>71</v>
      </c>
      <c r="C242" t="str">
        <f>randomselection('Ingredient Confirm'!$B$2:$B$406)</f>
        <v>borscht</v>
      </c>
      <c r="D242">
        <f t="shared" ca="1" si="9"/>
        <v>1</v>
      </c>
      <c r="E242">
        <f ca="1">VLOOKUP(B242,Dish!$A$1:$C$91,3,FALSE)</f>
        <v>15</v>
      </c>
      <c r="F242" t="e">
        <f>VLOOKUP(C242,'Ingredient Confirm'!$B$1:$F$406,6,FALSE)</f>
        <v>#REF!</v>
      </c>
      <c r="G242" t="str">
        <f>VLOOKUP(C242,'Ingredient Confirm'!$B$1:$F$406,2,FALSE)</f>
        <v>bottle</v>
      </c>
    </row>
    <row r="243" spans="2:7" x14ac:dyDescent="0.25">
      <c r="B243">
        <f t="shared" ca="1" si="8"/>
        <v>52</v>
      </c>
      <c r="C243" t="str">
        <f>randomselection('Ingredient Confirm'!$B$2:$B$406)</f>
        <v>sesame seeds</v>
      </c>
      <c r="D243">
        <f t="shared" ca="1" si="9"/>
        <v>2</v>
      </c>
      <c r="E243">
        <f ca="1">VLOOKUP(B243,Dish!$A$1:$C$91,3,FALSE)</f>
        <v>8</v>
      </c>
      <c r="F243" t="e">
        <f>VLOOKUP(C243,'Ingredient Confirm'!$B$1:$F$406,6,FALSE)</f>
        <v>#REF!</v>
      </c>
      <c r="G243" t="str">
        <f>VLOOKUP(C243,'Ingredient Confirm'!$B$1:$F$406,2,FALSE)</f>
        <v>package</v>
      </c>
    </row>
    <row r="244" spans="2:7" x14ac:dyDescent="0.25">
      <c r="B244">
        <f t="shared" ca="1" si="8"/>
        <v>54</v>
      </c>
      <c r="C244" t="str">
        <f>randomselection('Ingredient Confirm'!$B$2:$B$406)</f>
        <v>berries</v>
      </c>
      <c r="D244">
        <f t="shared" ca="1" si="9"/>
        <v>1</v>
      </c>
      <c r="E244">
        <f ca="1">VLOOKUP(B244,Dish!$A$1:$C$91,3,FALSE)</f>
        <v>9</v>
      </c>
      <c r="F244" t="e">
        <f>VLOOKUP(C244,'Ingredient Confirm'!$B$1:$F$406,6,FALSE)</f>
        <v>#REF!</v>
      </c>
      <c r="G244" t="str">
        <f>VLOOKUP(C244,'Ingredient Confirm'!$B$1:$F$406,2,FALSE)</f>
        <v>can</v>
      </c>
    </row>
    <row r="245" spans="2:7" x14ac:dyDescent="0.25">
      <c r="B245">
        <f t="shared" ca="1" si="8"/>
        <v>75</v>
      </c>
      <c r="C245" t="str">
        <f>randomselection('Ingredient Confirm'!$B$2:$B$406)</f>
        <v>rose water</v>
      </c>
      <c r="D245">
        <f t="shared" ca="1" si="9"/>
        <v>1</v>
      </c>
      <c r="E245">
        <f ca="1">VLOOKUP(B245,Dish!$A$1:$C$91,3,FALSE)</f>
        <v>5</v>
      </c>
      <c r="F245" t="e">
        <f>VLOOKUP(C245,'Ingredient Confirm'!$B$1:$F$406,6,FALSE)</f>
        <v>#REF!</v>
      </c>
      <c r="G245" t="str">
        <f>VLOOKUP(C245,'Ingredient Confirm'!$B$1:$F$406,2,FALSE)</f>
        <v>bottle</v>
      </c>
    </row>
    <row r="246" spans="2:7" x14ac:dyDescent="0.25">
      <c r="B246">
        <f t="shared" ca="1" si="8"/>
        <v>34</v>
      </c>
      <c r="C246" t="str">
        <f>randomselection('Ingredient Confirm'!$B$2:$B$406)</f>
        <v>cottage cheese</v>
      </c>
      <c r="D246">
        <f t="shared" ca="1" si="9"/>
        <v>1</v>
      </c>
      <c r="E246">
        <f ca="1">VLOOKUP(B246,Dish!$A$1:$C$91,3,FALSE)</f>
        <v>12</v>
      </c>
      <c r="F246" t="e">
        <f>VLOOKUP(C246,'Ingredient Confirm'!$B$1:$F$406,6,FALSE)</f>
        <v>#REF!</v>
      </c>
      <c r="G246" t="str">
        <f>VLOOKUP(C246,'Ingredient Confirm'!$B$1:$F$406,2,FALSE)</f>
        <v>package</v>
      </c>
    </row>
    <row r="247" spans="2:7" x14ac:dyDescent="0.25">
      <c r="B247">
        <f t="shared" ca="1" si="8"/>
        <v>70</v>
      </c>
      <c r="C247" t="str">
        <f>randomselection('Ingredient Confirm'!$B$2:$B$406)</f>
        <v>pea beans</v>
      </c>
      <c r="D247">
        <f t="shared" ca="1" si="9"/>
        <v>2</v>
      </c>
      <c r="E247">
        <f ca="1">VLOOKUP(B247,Dish!$A$1:$C$91,3,FALSE)</f>
        <v>3</v>
      </c>
      <c r="F247" t="e">
        <f>VLOOKUP(C247,'Ingredient Confirm'!$B$1:$F$406,6,FALSE)</f>
        <v>#REF!</v>
      </c>
      <c r="G247" t="str">
        <f>VLOOKUP(C247,'Ingredient Confirm'!$B$1:$F$406,2,FALSE)</f>
        <v>can</v>
      </c>
    </row>
    <row r="248" spans="2:7" x14ac:dyDescent="0.25">
      <c r="B248">
        <f t="shared" ca="1" si="8"/>
        <v>34</v>
      </c>
      <c r="C248" t="str">
        <f>randomselection('Ingredient Confirm'!$B$2:$B$406)</f>
        <v>baking soda</v>
      </c>
      <c r="D248">
        <f t="shared" ca="1" si="9"/>
        <v>2</v>
      </c>
      <c r="E248">
        <f ca="1">VLOOKUP(B248,Dish!$A$1:$C$91,3,FALSE)</f>
        <v>12</v>
      </c>
      <c r="F248" t="e">
        <f>VLOOKUP(C248,'Ingredient Confirm'!$B$1:$F$406,6,FALSE)</f>
        <v>#REF!</v>
      </c>
      <c r="G248" t="str">
        <f>VLOOKUP(C248,'Ingredient Confirm'!$B$1:$F$406,2,FALSE)</f>
        <v>can</v>
      </c>
    </row>
    <row r="249" spans="2:7" x14ac:dyDescent="0.25">
      <c r="B249">
        <f t="shared" ca="1" si="8"/>
        <v>7</v>
      </c>
      <c r="C249" t="str">
        <f>randomselection('Ingredient Confirm'!$B$2:$B$406)</f>
        <v>feta cheese</v>
      </c>
      <c r="D249">
        <f t="shared" ca="1" si="9"/>
        <v>1</v>
      </c>
      <c r="E249">
        <f ca="1">VLOOKUP(B249,Dish!$A$1:$C$91,3,FALSE)</f>
        <v>15</v>
      </c>
      <c r="F249" t="e">
        <f>VLOOKUP(C249,'Ingredient Confirm'!$B$1:$F$406,6,FALSE)</f>
        <v>#REF!</v>
      </c>
      <c r="G249" t="str">
        <f>VLOOKUP(C249,'Ingredient Confirm'!$B$1:$F$406,2,FALSE)</f>
        <v>package</v>
      </c>
    </row>
    <row r="250" spans="2:7" x14ac:dyDescent="0.25">
      <c r="B250">
        <f t="shared" ca="1" si="8"/>
        <v>94</v>
      </c>
      <c r="C250" t="str">
        <f>randomselection('Ingredient Confirm'!$B$2:$B$406)</f>
        <v>liver</v>
      </c>
      <c r="D250">
        <f t="shared" ca="1" si="9"/>
        <v>2</v>
      </c>
      <c r="E250">
        <f ca="1">VLOOKUP(B250,Dish!$A$1:$C$91,3,FALSE)</f>
        <v>12</v>
      </c>
      <c r="F250" t="e">
        <f>VLOOKUP(C250,'Ingredient Confirm'!$B$1:$F$406,6,FALSE)</f>
        <v>#REF!</v>
      </c>
      <c r="G250" t="str">
        <f>VLOOKUP(C250,'Ingredient Confirm'!$B$1:$F$406,2,FALSE)</f>
        <v>piece</v>
      </c>
    </row>
    <row r="251" spans="2:7" x14ac:dyDescent="0.25">
      <c r="B251">
        <f t="shared" ca="1" si="8"/>
        <v>49</v>
      </c>
      <c r="C251" t="str">
        <f>randomselection('Ingredient Confirm'!$B$2:$B$406)</f>
        <v>brandy</v>
      </c>
      <c r="D251">
        <f t="shared" ca="1" si="9"/>
        <v>2</v>
      </c>
      <c r="E251">
        <f ca="1">VLOOKUP(B251,Dish!$A$1:$C$91,3,FALSE)</f>
        <v>11</v>
      </c>
      <c r="F251" t="e">
        <f>VLOOKUP(C251,'Ingredient Confirm'!$B$1:$F$406,6,FALSE)</f>
        <v>#REF!</v>
      </c>
      <c r="G251" t="str">
        <f>VLOOKUP(C251,'Ingredient Confirm'!$B$1:$F$406,2,FALSE)</f>
        <v>bottle</v>
      </c>
    </row>
    <row r="252" spans="2:7" x14ac:dyDescent="0.25">
      <c r="B252">
        <f t="shared" ca="1" si="8"/>
        <v>89</v>
      </c>
      <c r="C252" t="str">
        <f>randomselection('Ingredient Confirm'!$B$2:$B$406)</f>
        <v>provolone</v>
      </c>
      <c r="D252">
        <f t="shared" ca="1" si="9"/>
        <v>2</v>
      </c>
      <c r="E252">
        <f ca="1">VLOOKUP(B252,Dish!$A$1:$C$91,3,FALSE)</f>
        <v>5</v>
      </c>
      <c r="F252" t="e">
        <f>VLOOKUP(C252,'Ingredient Confirm'!$B$1:$F$406,6,FALSE)</f>
        <v>#REF!</v>
      </c>
      <c r="G252" t="str">
        <f>VLOOKUP(C252,'Ingredient Confirm'!$B$1:$F$406,2,FALSE)</f>
        <v>package</v>
      </c>
    </row>
    <row r="253" spans="2:7" x14ac:dyDescent="0.25">
      <c r="B253">
        <f t="shared" ca="1" si="8"/>
        <v>72</v>
      </c>
      <c r="C253" t="str">
        <f>randomselection('Ingredient Confirm'!$B$2:$B$406)</f>
        <v>feta cheese</v>
      </c>
      <c r="D253">
        <f t="shared" ca="1" si="9"/>
        <v>2</v>
      </c>
      <c r="E253">
        <f ca="1">VLOOKUP(B253,Dish!$A$1:$C$91,3,FALSE)</f>
        <v>3</v>
      </c>
      <c r="F253" t="e">
        <f>VLOOKUP(C253,'Ingredient Confirm'!$B$1:$F$406,6,FALSE)</f>
        <v>#REF!</v>
      </c>
      <c r="G253" t="str">
        <f>VLOOKUP(C253,'Ingredient Confirm'!$B$1:$F$406,2,FALSE)</f>
        <v>package</v>
      </c>
    </row>
    <row r="254" spans="2:7" x14ac:dyDescent="0.25">
      <c r="B254">
        <f t="shared" ca="1" si="8"/>
        <v>61</v>
      </c>
      <c r="C254" t="str">
        <f>randomselection('Ingredient Confirm'!$B$2:$B$406)</f>
        <v>brandy</v>
      </c>
      <c r="D254">
        <f t="shared" ca="1" si="9"/>
        <v>1</v>
      </c>
      <c r="E254">
        <f ca="1">VLOOKUP(B254,Dish!$A$1:$C$91,3,FALSE)</f>
        <v>2</v>
      </c>
      <c r="F254" t="e">
        <f>VLOOKUP(C254,'Ingredient Confirm'!$B$1:$F$406,6,FALSE)</f>
        <v>#REF!</v>
      </c>
      <c r="G254" t="str">
        <f>VLOOKUP(C254,'Ingredient Confirm'!$B$1:$F$406,2,FALSE)</f>
        <v>bottle</v>
      </c>
    </row>
    <row r="255" spans="2:7" x14ac:dyDescent="0.25">
      <c r="B255">
        <f t="shared" ca="1" si="8"/>
        <v>68</v>
      </c>
      <c r="C255" t="str">
        <f>randomselection('Ingredient Confirm'!$B$2:$B$406)</f>
        <v>cooking wine</v>
      </c>
      <c r="D255">
        <f t="shared" ca="1" si="9"/>
        <v>2</v>
      </c>
      <c r="E255">
        <f ca="1">VLOOKUP(B255,Dish!$A$1:$C$91,3,FALSE)</f>
        <v>2</v>
      </c>
      <c r="F255" t="e">
        <f>VLOOKUP(C255,'Ingredient Confirm'!$B$1:$F$406,6,FALSE)</f>
        <v>#REF!</v>
      </c>
      <c r="G255" t="str">
        <f>VLOOKUP(C255,'Ingredient Confirm'!$B$1:$F$406,2,FALSE)</f>
        <v>can</v>
      </c>
    </row>
    <row r="256" spans="2:7" x14ac:dyDescent="0.25">
      <c r="B256">
        <f t="shared" ca="1" si="8"/>
        <v>82</v>
      </c>
      <c r="C256" t="str">
        <f>randomselection('Ingredient Confirm'!$B$2:$B$406)</f>
        <v>coconut oil</v>
      </c>
      <c r="D256">
        <f t="shared" ca="1" si="9"/>
        <v>1</v>
      </c>
      <c r="E256">
        <f ca="1">VLOOKUP(B256,Dish!$A$1:$C$91,3,FALSE)</f>
        <v>12</v>
      </c>
      <c r="F256" t="e">
        <f>VLOOKUP(C256,'Ingredient Confirm'!$B$1:$F$406,6,FALSE)</f>
        <v>#REF!</v>
      </c>
      <c r="G256" t="str">
        <f>VLOOKUP(C256,'Ingredient Confirm'!$B$1:$F$406,2,FALSE)</f>
        <v>bottle</v>
      </c>
    </row>
    <row r="257" spans="2:7" x14ac:dyDescent="0.25">
      <c r="B257">
        <f t="shared" ca="1" si="8"/>
        <v>61</v>
      </c>
      <c r="C257" t="str">
        <f>randomselection('Ingredient Confirm'!$B$2:$B$406)</f>
        <v>apples</v>
      </c>
      <c r="D257">
        <f t="shared" ca="1" si="9"/>
        <v>2</v>
      </c>
      <c r="E257">
        <f ca="1">VLOOKUP(B257,Dish!$A$1:$C$91,3,FALSE)</f>
        <v>2</v>
      </c>
      <c r="F257" t="e">
        <f>VLOOKUP(C257,'Ingredient Confirm'!$B$1:$F$406,6,FALSE)</f>
        <v>#REF!</v>
      </c>
      <c r="G257" t="str">
        <f>VLOOKUP(C257,'Ingredient Confirm'!$B$1:$F$406,2,FALSE)</f>
        <v>package</v>
      </c>
    </row>
    <row r="258" spans="2:7" x14ac:dyDescent="0.25">
      <c r="B258">
        <f t="shared" ca="1" si="8"/>
        <v>66</v>
      </c>
      <c r="C258" t="str">
        <f>randomselection('Ingredient Confirm'!$B$2:$B$406)</f>
        <v>granola</v>
      </c>
      <c r="D258">
        <f t="shared" ca="1" si="9"/>
        <v>2</v>
      </c>
      <c r="E258">
        <f ca="1">VLOOKUP(B258,Dish!$A$1:$C$91,3,FALSE)</f>
        <v>6</v>
      </c>
      <c r="F258" t="e">
        <f>VLOOKUP(C258,'Ingredient Confirm'!$B$1:$F$406,6,FALSE)</f>
        <v>#REF!</v>
      </c>
      <c r="G258" t="str">
        <f>VLOOKUP(C258,'Ingredient Confirm'!$B$1:$F$406,2,FALSE)</f>
        <v>can</v>
      </c>
    </row>
    <row r="259" spans="2:7" x14ac:dyDescent="0.25">
      <c r="B259">
        <f t="shared" ca="1" si="8"/>
        <v>80</v>
      </c>
      <c r="C259" t="str">
        <f>randomselection('Ingredient Confirm'!$B$2:$B$406)</f>
        <v>plantains</v>
      </c>
      <c r="D259">
        <f t="shared" ca="1" si="9"/>
        <v>2</v>
      </c>
      <c r="E259">
        <f ca="1">VLOOKUP(B259,Dish!$A$1:$C$91,3,FALSE)</f>
        <v>7</v>
      </c>
      <c r="F259" t="e">
        <f>VLOOKUP(C259,'Ingredient Confirm'!$B$1:$F$406,6,FALSE)</f>
        <v>#REF!</v>
      </c>
      <c r="G259" t="str">
        <f>VLOOKUP(C259,'Ingredient Confirm'!$B$1:$F$406,2,FALSE)</f>
        <v>can</v>
      </c>
    </row>
    <row r="260" spans="2:7" x14ac:dyDescent="0.25">
      <c r="B260">
        <f t="shared" ca="1" si="8"/>
        <v>95</v>
      </c>
      <c r="C260" t="str">
        <f>randomselection('Ingredient Confirm'!$B$2:$B$406)</f>
        <v>feta cheese</v>
      </c>
      <c r="D260">
        <f t="shared" ca="1" si="9"/>
        <v>1</v>
      </c>
      <c r="E260">
        <f ca="1">VLOOKUP(B260,Dish!$A$1:$C$91,3,FALSE)</f>
        <v>4</v>
      </c>
      <c r="F260" t="e">
        <f>VLOOKUP(C260,'Ingredient Confirm'!$B$1:$F$406,6,FALSE)</f>
        <v>#REF!</v>
      </c>
      <c r="G260" t="str">
        <f>VLOOKUP(C260,'Ingredient Confirm'!$B$1:$F$406,2,FALSE)</f>
        <v>package</v>
      </c>
    </row>
    <row r="261" spans="2:7" x14ac:dyDescent="0.25">
      <c r="B261">
        <f t="shared" ca="1" si="8"/>
        <v>22</v>
      </c>
      <c r="C261" t="str">
        <f>randomselection('Ingredient Confirm'!$B$2:$B$406)</f>
        <v>acorn squash</v>
      </c>
      <c r="D261">
        <f t="shared" ca="1" si="9"/>
        <v>2</v>
      </c>
      <c r="E261">
        <f ca="1">VLOOKUP(B261,Dish!$A$1:$C$91,3,FALSE)</f>
        <v>12</v>
      </c>
      <c r="F261" t="e">
        <f>VLOOKUP(C261,'Ingredient Confirm'!$B$1:$F$406,6,FALSE)</f>
        <v>#REF!</v>
      </c>
      <c r="G261" t="str">
        <f>VLOOKUP(C261,'Ingredient Confirm'!$B$1:$F$406,2,FALSE)</f>
        <v>package</v>
      </c>
    </row>
    <row r="262" spans="2:7" x14ac:dyDescent="0.25">
      <c r="B262">
        <f t="shared" ca="1" si="8"/>
        <v>93</v>
      </c>
      <c r="C262" t="str">
        <f>randomselection('Ingredient Confirm'!$B$2:$B$406)</f>
        <v>hash browns</v>
      </c>
      <c r="D262">
        <f t="shared" ca="1" si="9"/>
        <v>1</v>
      </c>
      <c r="E262">
        <f ca="1">VLOOKUP(B262,Dish!$A$1:$C$91,3,FALSE)</f>
        <v>7</v>
      </c>
      <c r="F262" t="e">
        <f>VLOOKUP(C262,'Ingredient Confirm'!$B$1:$F$406,6,FALSE)</f>
        <v>#REF!</v>
      </c>
      <c r="G262" t="str">
        <f>VLOOKUP(C262,'Ingredient Confirm'!$B$1:$F$406,2,FALSE)</f>
        <v>package</v>
      </c>
    </row>
    <row r="263" spans="2:7" x14ac:dyDescent="0.25">
      <c r="B263">
        <f t="shared" ca="1" si="8"/>
        <v>43</v>
      </c>
      <c r="C263" t="str">
        <f>randomselection('Ingredient Confirm'!$B$2:$B$406)</f>
        <v>french fries</v>
      </c>
      <c r="D263">
        <f t="shared" ca="1" si="9"/>
        <v>2</v>
      </c>
      <c r="E263">
        <f ca="1">VLOOKUP(B263,Dish!$A$1:$C$91,3,FALSE)</f>
        <v>15</v>
      </c>
      <c r="F263" t="e">
        <f>VLOOKUP(C263,'Ingredient Confirm'!$B$1:$F$406,6,FALSE)</f>
        <v>#REF!</v>
      </c>
      <c r="G263" t="str">
        <f>VLOOKUP(C263,'Ingredient Confirm'!$B$1:$F$406,2,FALSE)</f>
        <v>package</v>
      </c>
    </row>
    <row r="264" spans="2:7" x14ac:dyDescent="0.25">
      <c r="B264">
        <f t="shared" ca="1" si="8"/>
        <v>8</v>
      </c>
      <c r="C264" t="str">
        <f>randomselection('Ingredient Confirm'!$B$2:$B$406)</f>
        <v>provolone</v>
      </c>
      <c r="D264">
        <f t="shared" ca="1" si="9"/>
        <v>1</v>
      </c>
      <c r="E264">
        <f ca="1">VLOOKUP(B264,Dish!$A$1:$C$91,3,FALSE)</f>
        <v>5</v>
      </c>
      <c r="F264" t="e">
        <f>VLOOKUP(C264,'Ingredient Confirm'!$B$1:$F$406,6,FALSE)</f>
        <v>#REF!</v>
      </c>
      <c r="G264" t="str">
        <f>VLOOKUP(C264,'Ingredient Confirm'!$B$1:$F$406,2,FALSE)</f>
        <v>package</v>
      </c>
    </row>
    <row r="265" spans="2:7" x14ac:dyDescent="0.25">
      <c r="B265">
        <f t="shared" ca="1" si="8"/>
        <v>45</v>
      </c>
      <c r="C265" t="str">
        <f>randomselection('Ingredient Confirm'!$B$2:$B$406)</f>
        <v>corned beef</v>
      </c>
      <c r="D265">
        <f t="shared" ca="1" si="9"/>
        <v>2</v>
      </c>
      <c r="E265">
        <f ca="1">VLOOKUP(B265,Dish!$A$1:$C$91,3,FALSE)</f>
        <v>13</v>
      </c>
      <c r="F265" t="e">
        <f>VLOOKUP(C265,'Ingredient Confirm'!$B$1:$F$406,6,FALSE)</f>
        <v>#REF!</v>
      </c>
      <c r="G265" t="str">
        <f>VLOOKUP(C265,'Ingredient Confirm'!$B$1:$F$406,2,FALSE)</f>
        <v>can</v>
      </c>
    </row>
    <row r="266" spans="2:7" x14ac:dyDescent="0.25">
      <c r="B266">
        <f t="shared" ca="1" si="8"/>
        <v>61</v>
      </c>
      <c r="C266" t="str">
        <f>randomselection('Ingredient Confirm'!$B$2:$B$406)</f>
        <v>eggplants</v>
      </c>
      <c r="D266">
        <f t="shared" ca="1" si="9"/>
        <v>1</v>
      </c>
      <c r="E266">
        <f ca="1">VLOOKUP(B266,Dish!$A$1:$C$91,3,FALSE)</f>
        <v>2</v>
      </c>
      <c r="F266" t="e">
        <f>VLOOKUP(C266,'Ingredient Confirm'!$B$1:$F$406,6,FALSE)</f>
        <v>#REF!</v>
      </c>
      <c r="G266" t="str">
        <f>VLOOKUP(C266,'Ingredient Confirm'!$B$1:$F$406,2,FALSE)</f>
        <v>can</v>
      </c>
    </row>
    <row r="267" spans="2:7" x14ac:dyDescent="0.25">
      <c r="B267">
        <f t="shared" ca="1" si="8"/>
        <v>76</v>
      </c>
      <c r="C267" t="str">
        <f>randomselection('Ingredient Confirm'!$B$2:$B$406)</f>
        <v>cornmeal</v>
      </c>
      <c r="D267">
        <f t="shared" ca="1" si="9"/>
        <v>2</v>
      </c>
      <c r="E267">
        <f ca="1">VLOOKUP(B267,Dish!$A$1:$C$91,3,FALSE)</f>
        <v>12</v>
      </c>
      <c r="F267" t="e">
        <f>VLOOKUP(C267,'Ingredient Confirm'!$B$1:$F$406,6,FALSE)</f>
        <v>#REF!</v>
      </c>
      <c r="G267" t="str">
        <f>VLOOKUP(C267,'Ingredient Confirm'!$B$1:$F$406,2,FALSE)</f>
        <v>can</v>
      </c>
    </row>
    <row r="268" spans="2:7" x14ac:dyDescent="0.25">
      <c r="B268">
        <f t="shared" ca="1" si="8"/>
        <v>33</v>
      </c>
      <c r="C268" t="str">
        <f>randomselection('Ingredient Confirm'!$B$2:$B$406)</f>
        <v>berries</v>
      </c>
      <c r="D268">
        <f t="shared" ca="1" si="9"/>
        <v>2</v>
      </c>
      <c r="E268">
        <f ca="1">VLOOKUP(B268,Dish!$A$1:$C$91,3,FALSE)</f>
        <v>14</v>
      </c>
      <c r="F268" t="e">
        <f>VLOOKUP(C268,'Ingredient Confirm'!$B$1:$F$406,6,FALSE)</f>
        <v>#REF!</v>
      </c>
      <c r="G268" t="str">
        <f>VLOOKUP(C268,'Ingredient Confirm'!$B$1:$F$406,2,FALSE)</f>
        <v>can</v>
      </c>
    </row>
    <row r="269" spans="2:7" x14ac:dyDescent="0.25">
      <c r="B269">
        <f t="shared" ca="1" si="8"/>
        <v>81</v>
      </c>
      <c r="C269" t="str">
        <f>randomselection('Ingredient Confirm'!$B$2:$B$406)</f>
        <v>peaches</v>
      </c>
      <c r="D269">
        <f t="shared" ca="1" si="9"/>
        <v>2</v>
      </c>
      <c r="E269">
        <f ca="1">VLOOKUP(B269,Dish!$A$1:$C$91,3,FALSE)</f>
        <v>11</v>
      </c>
      <c r="F269" t="e">
        <f>VLOOKUP(C269,'Ingredient Confirm'!$B$1:$F$406,6,FALSE)</f>
        <v>#REF!</v>
      </c>
      <c r="G269" t="str">
        <f>VLOOKUP(C269,'Ingredient Confirm'!$B$1:$F$406,2,FALSE)</f>
        <v>can</v>
      </c>
    </row>
    <row r="270" spans="2:7" x14ac:dyDescent="0.25">
      <c r="B270">
        <f t="shared" ca="1" si="8"/>
        <v>26</v>
      </c>
      <c r="C270" t="str">
        <f>randomselection('Ingredient Confirm'!$B$2:$B$406)</f>
        <v>borscht</v>
      </c>
      <c r="D270">
        <f t="shared" ca="1" si="9"/>
        <v>2</v>
      </c>
      <c r="E270">
        <f ca="1">VLOOKUP(B270,Dish!$A$1:$C$91,3,FALSE)</f>
        <v>9</v>
      </c>
      <c r="F270" t="e">
        <f>VLOOKUP(C270,'Ingredient Confirm'!$B$1:$F$406,6,FALSE)</f>
        <v>#REF!</v>
      </c>
      <c r="G270" t="str">
        <f>VLOOKUP(C270,'Ingredient Confirm'!$B$1:$F$406,2,FALSE)</f>
        <v>bottle</v>
      </c>
    </row>
    <row r="271" spans="2:7" x14ac:dyDescent="0.25">
      <c r="B271">
        <f t="shared" ca="1" si="8"/>
        <v>41</v>
      </c>
      <c r="C271" t="str">
        <f>randomselection('Ingredient Confirm'!$B$2:$B$406)</f>
        <v>cooking wine</v>
      </c>
      <c r="D271">
        <f t="shared" ca="1" si="9"/>
        <v>2</v>
      </c>
      <c r="E271">
        <f ca="1">VLOOKUP(B271,Dish!$A$1:$C$91,3,FALSE)</f>
        <v>6</v>
      </c>
      <c r="F271" t="e">
        <f>VLOOKUP(C271,'Ingredient Confirm'!$B$1:$F$406,6,FALSE)</f>
        <v>#REF!</v>
      </c>
      <c r="G271" t="str">
        <f>VLOOKUP(C271,'Ingredient Confirm'!$B$1:$F$406,2,FALSE)</f>
        <v>can</v>
      </c>
    </row>
    <row r="272" spans="2:7" x14ac:dyDescent="0.25">
      <c r="B272">
        <f t="shared" ca="1" si="8"/>
        <v>72</v>
      </c>
      <c r="C272" t="str">
        <f>randomselection('Ingredient Confirm'!$B$2:$B$406)</f>
        <v>black-eyed peas</v>
      </c>
      <c r="D272">
        <f t="shared" ca="1" si="9"/>
        <v>1</v>
      </c>
      <c r="E272">
        <f ca="1">VLOOKUP(B272,Dish!$A$1:$C$91,3,FALSE)</f>
        <v>3</v>
      </c>
      <c r="F272" t="e">
        <f>VLOOKUP(C272,'Ingredient Confirm'!$B$1:$F$406,6,FALSE)</f>
        <v>#REF!</v>
      </c>
      <c r="G272" t="str">
        <f>VLOOKUP(C272,'Ingredient Confirm'!$B$1:$F$406,2,FALSE)</f>
        <v>can</v>
      </c>
    </row>
    <row r="273" spans="2:7" x14ac:dyDescent="0.25">
      <c r="B273">
        <f t="shared" ca="1" si="8"/>
        <v>70</v>
      </c>
      <c r="C273" t="str">
        <f>randomselection('Ingredient Confirm'!$B$2:$B$406)</f>
        <v>cream of tartar</v>
      </c>
      <c r="D273">
        <f t="shared" ca="1" si="9"/>
        <v>2</v>
      </c>
      <c r="E273">
        <f ca="1">VLOOKUP(B273,Dish!$A$1:$C$91,3,FALSE)</f>
        <v>3</v>
      </c>
      <c r="F273" t="e">
        <f>VLOOKUP(C273,'Ingredient Confirm'!$B$1:$F$406,6,FALSE)</f>
        <v>#REF!</v>
      </c>
      <c r="G273" t="str">
        <f>VLOOKUP(C273,'Ingredient Confirm'!$B$1:$F$406,2,FALSE)</f>
        <v>can</v>
      </c>
    </row>
    <row r="274" spans="2:7" x14ac:dyDescent="0.25">
      <c r="B274">
        <f t="shared" ca="1" si="8"/>
        <v>32</v>
      </c>
      <c r="C274" t="str">
        <f>randomselection('Ingredient Confirm'!$B$2:$B$406)</f>
        <v>cornstarch</v>
      </c>
      <c r="D274">
        <f t="shared" ca="1" si="9"/>
        <v>1</v>
      </c>
      <c r="E274">
        <f ca="1">VLOOKUP(B274,Dish!$A$1:$C$91,3,FALSE)</f>
        <v>14</v>
      </c>
      <c r="F274" t="e">
        <f>VLOOKUP(C274,'Ingredient Confirm'!$B$1:$F$406,6,FALSE)</f>
        <v>#REF!</v>
      </c>
      <c r="G274" t="str">
        <f>VLOOKUP(C274,'Ingredient Confirm'!$B$1:$F$406,2,FALSE)</f>
        <v>can</v>
      </c>
    </row>
    <row r="275" spans="2:7" x14ac:dyDescent="0.25">
      <c r="B275">
        <f t="shared" ca="1" si="8"/>
        <v>61</v>
      </c>
      <c r="C275" t="str">
        <f>randomselection('Ingredient Confirm'!$B$2:$B$406)</f>
        <v>cottage cheese</v>
      </c>
      <c r="D275">
        <f t="shared" ca="1" si="9"/>
        <v>1</v>
      </c>
      <c r="E275">
        <f ca="1">VLOOKUP(B275,Dish!$A$1:$C$91,3,FALSE)</f>
        <v>2</v>
      </c>
      <c r="F275" t="e">
        <f>VLOOKUP(C275,'Ingredient Confirm'!$B$1:$F$406,6,FALSE)</f>
        <v>#REF!</v>
      </c>
      <c r="G275" t="str">
        <f>VLOOKUP(C275,'Ingredient Confirm'!$B$1:$F$406,2,FALSE)</f>
        <v>package</v>
      </c>
    </row>
    <row r="276" spans="2:7" x14ac:dyDescent="0.25">
      <c r="B276">
        <f t="shared" ca="1" si="8"/>
        <v>90</v>
      </c>
      <c r="C276" t="str">
        <f>randomselection('Ingredient Confirm'!$B$2:$B$406)</f>
        <v>lettuce</v>
      </c>
      <c r="D276">
        <f t="shared" ca="1" si="9"/>
        <v>2</v>
      </c>
      <c r="E276">
        <f ca="1">VLOOKUP(B276,Dish!$A$1:$C$91,3,FALSE)</f>
        <v>3</v>
      </c>
      <c r="F276" t="e">
        <f>VLOOKUP(C276,'Ingredient Confirm'!$B$1:$F$406,6,FALSE)</f>
        <v>#REF!</v>
      </c>
      <c r="G276" t="str">
        <f>VLOOKUP(C276,'Ingredient Confirm'!$B$1:$F$406,2,FALSE)</f>
        <v>package</v>
      </c>
    </row>
    <row r="277" spans="2:7" x14ac:dyDescent="0.25">
      <c r="B277">
        <f t="shared" ca="1" si="8"/>
        <v>22</v>
      </c>
      <c r="C277" t="str">
        <f>randomselection('Ingredient Confirm'!$B$2:$B$406)</f>
        <v>pumpkin seeds</v>
      </c>
      <c r="D277">
        <f t="shared" ca="1" si="9"/>
        <v>2</v>
      </c>
      <c r="E277">
        <f ca="1">VLOOKUP(B277,Dish!$A$1:$C$91,3,FALSE)</f>
        <v>12</v>
      </c>
      <c r="F277" t="e">
        <f>VLOOKUP(C277,'Ingredient Confirm'!$B$1:$F$406,6,FALSE)</f>
        <v>#REF!</v>
      </c>
      <c r="G277" t="str">
        <f>VLOOKUP(C277,'Ingredient Confirm'!$B$1:$F$406,2,FALSE)</f>
        <v>package</v>
      </c>
    </row>
    <row r="278" spans="2:7" x14ac:dyDescent="0.25">
      <c r="B278">
        <f t="shared" ca="1" si="8"/>
        <v>63</v>
      </c>
      <c r="C278" t="str">
        <f>randomselection('Ingredient Confirm'!$B$2:$B$406)</f>
        <v>cremini mushrooms</v>
      </c>
      <c r="D278">
        <f t="shared" ca="1" si="9"/>
        <v>2</v>
      </c>
      <c r="E278">
        <f ca="1">VLOOKUP(B278,Dish!$A$1:$C$91,3,FALSE)</f>
        <v>4</v>
      </c>
      <c r="F278" t="e">
        <f>VLOOKUP(C278,'Ingredient Confirm'!$B$1:$F$406,6,FALSE)</f>
        <v>#REF!</v>
      </c>
      <c r="G278" t="str">
        <f>VLOOKUP(C278,'Ingredient Confirm'!$B$1:$F$406,2,FALSE)</f>
        <v>can</v>
      </c>
    </row>
    <row r="279" spans="2:7" x14ac:dyDescent="0.25">
      <c r="B279">
        <f t="shared" ca="1" si="8"/>
        <v>41</v>
      </c>
      <c r="C279" t="str">
        <f>randomselection('Ingredient Confirm'!$B$2:$B$406)</f>
        <v>cottage cheese</v>
      </c>
      <c r="D279">
        <f t="shared" ca="1" si="9"/>
        <v>2</v>
      </c>
      <c r="E279">
        <f ca="1">VLOOKUP(B279,Dish!$A$1:$C$91,3,FALSE)</f>
        <v>6</v>
      </c>
      <c r="F279" t="e">
        <f>VLOOKUP(C279,'Ingredient Confirm'!$B$1:$F$406,6,FALSE)</f>
        <v>#REF!</v>
      </c>
      <c r="G279" t="str">
        <f>VLOOKUP(C279,'Ingredient Confirm'!$B$1:$F$406,2,FALSE)</f>
        <v>package</v>
      </c>
    </row>
    <row r="280" spans="2:7" x14ac:dyDescent="0.25">
      <c r="B280">
        <f t="shared" ca="1" si="8"/>
        <v>45</v>
      </c>
      <c r="C280" t="str">
        <f>randomselection('Ingredient Confirm'!$B$2:$B$406)</f>
        <v>steak</v>
      </c>
      <c r="D280">
        <f t="shared" ca="1" si="9"/>
        <v>1</v>
      </c>
      <c r="E280">
        <f ca="1">VLOOKUP(B280,Dish!$A$1:$C$91,3,FALSE)</f>
        <v>13</v>
      </c>
      <c r="F280" t="e">
        <f>VLOOKUP(C280,'Ingredient Confirm'!$B$1:$F$406,6,FALSE)</f>
        <v>#REF!</v>
      </c>
      <c r="G280" t="str">
        <f>VLOOKUP(C280,'Ingredient Confirm'!$B$1:$F$406,2,FALSE)</f>
        <v>piece</v>
      </c>
    </row>
    <row r="281" spans="2:7" x14ac:dyDescent="0.25">
      <c r="B281">
        <f t="shared" ca="1" si="8"/>
        <v>19</v>
      </c>
      <c r="C281" t="str">
        <f>randomselection('Ingredient Confirm'!$B$2:$B$406)</f>
        <v>provolone</v>
      </c>
      <c r="D281">
        <f t="shared" ca="1" si="9"/>
        <v>1</v>
      </c>
      <c r="E281">
        <f ca="1">VLOOKUP(B281,Dish!$A$1:$C$91,3,FALSE)</f>
        <v>13</v>
      </c>
      <c r="F281" t="e">
        <f>VLOOKUP(C281,'Ingredient Confirm'!$B$1:$F$406,6,FALSE)</f>
        <v>#REF!</v>
      </c>
      <c r="G281" t="str">
        <f>VLOOKUP(C281,'Ingredient Confirm'!$B$1:$F$406,2,FALSE)</f>
        <v>package</v>
      </c>
    </row>
    <row r="282" spans="2:7" x14ac:dyDescent="0.25">
      <c r="B282">
        <f t="shared" ca="1" si="8"/>
        <v>67</v>
      </c>
      <c r="C282" t="str">
        <f>randomselection('Ingredient Confirm'!$B$2:$B$406)</f>
        <v>spearmint</v>
      </c>
      <c r="D282">
        <f t="shared" ca="1" si="9"/>
        <v>1</v>
      </c>
      <c r="E282">
        <f ca="1">VLOOKUP(B282,Dish!$A$1:$C$91,3,FALSE)</f>
        <v>4</v>
      </c>
      <c r="F282" t="e">
        <f>VLOOKUP(C282,'Ingredient Confirm'!$B$1:$F$406,6,FALSE)</f>
        <v>#REF!</v>
      </c>
      <c r="G282" t="str">
        <f>VLOOKUP(C282,'Ingredient Confirm'!$B$1:$F$406,2,FALSE)</f>
        <v>package</v>
      </c>
    </row>
    <row r="283" spans="2:7" x14ac:dyDescent="0.25">
      <c r="B283">
        <f t="shared" ca="1" si="8"/>
        <v>14</v>
      </c>
      <c r="C283" t="str">
        <f>randomselection('Ingredient Confirm'!$B$2:$B$406)</f>
        <v>spearmint</v>
      </c>
      <c r="D283">
        <f t="shared" ca="1" si="9"/>
        <v>1</v>
      </c>
      <c r="E283">
        <f ca="1">VLOOKUP(B283,Dish!$A$1:$C$91,3,FALSE)</f>
        <v>2</v>
      </c>
      <c r="F283" t="e">
        <f>VLOOKUP(C283,'Ingredient Confirm'!$B$1:$F$406,6,FALSE)</f>
        <v>#REF!</v>
      </c>
      <c r="G283" t="str">
        <f>VLOOKUP(C283,'Ingredient Confirm'!$B$1:$F$406,2,FALSE)</f>
        <v>package</v>
      </c>
    </row>
    <row r="284" spans="2:7" x14ac:dyDescent="0.25">
      <c r="B284">
        <f t="shared" ca="1" si="8"/>
        <v>39</v>
      </c>
      <c r="C284" t="str">
        <f>randomselection('Ingredient Confirm'!$B$2:$B$406)</f>
        <v>gelatin</v>
      </c>
      <c r="D284">
        <f t="shared" ca="1" si="9"/>
        <v>2</v>
      </c>
      <c r="E284">
        <f ca="1">VLOOKUP(B284,Dish!$A$1:$C$91,3,FALSE)</f>
        <v>13</v>
      </c>
      <c r="F284" t="e">
        <f>VLOOKUP(C284,'Ingredient Confirm'!$B$1:$F$406,6,FALSE)</f>
        <v>#REF!</v>
      </c>
      <c r="G284" t="str">
        <f>VLOOKUP(C284,'Ingredient Confirm'!$B$1:$F$406,2,FALSE)</f>
        <v>can</v>
      </c>
    </row>
    <row r="285" spans="2:7" x14ac:dyDescent="0.25">
      <c r="B285">
        <f t="shared" ca="1" si="8"/>
        <v>20</v>
      </c>
      <c r="C285" t="str">
        <f>randomselection('Ingredient Confirm'!$B$2:$B$406)</f>
        <v>steak</v>
      </c>
      <c r="D285">
        <f t="shared" ca="1" si="9"/>
        <v>2</v>
      </c>
      <c r="E285">
        <f ca="1">VLOOKUP(B285,Dish!$A$1:$C$91,3,FALSE)</f>
        <v>8</v>
      </c>
      <c r="F285" t="e">
        <f>VLOOKUP(C285,'Ingredient Confirm'!$B$1:$F$406,6,FALSE)</f>
        <v>#REF!</v>
      </c>
      <c r="G285" t="str">
        <f>VLOOKUP(C285,'Ingredient Confirm'!$B$1:$F$406,2,FALSE)</f>
        <v>piece</v>
      </c>
    </row>
    <row r="286" spans="2:7" x14ac:dyDescent="0.25">
      <c r="B286">
        <f t="shared" ca="1" si="8"/>
        <v>59</v>
      </c>
      <c r="C286" t="str">
        <f>randomselection('Ingredient Confirm'!$B$2:$B$406)</f>
        <v>cremini mushrooms</v>
      </c>
      <c r="D286">
        <f t="shared" ca="1" si="9"/>
        <v>2</v>
      </c>
      <c r="E286">
        <f ca="1">VLOOKUP(B286,Dish!$A$1:$C$91,3,FALSE)</f>
        <v>12</v>
      </c>
      <c r="F286" t="e">
        <f>VLOOKUP(C286,'Ingredient Confirm'!$B$1:$F$406,6,FALSE)</f>
        <v>#REF!</v>
      </c>
      <c r="G286" t="str">
        <f>VLOOKUP(C286,'Ingredient Confirm'!$B$1:$F$406,2,FALSE)</f>
        <v>can</v>
      </c>
    </row>
    <row r="287" spans="2:7" x14ac:dyDescent="0.25">
      <c r="B287">
        <f t="shared" ca="1" si="8"/>
        <v>66</v>
      </c>
      <c r="C287" t="str">
        <f>randomselection('Ingredient Confirm'!$B$2:$B$406)</f>
        <v>bean sprouts</v>
      </c>
      <c r="D287">
        <f t="shared" ca="1" si="9"/>
        <v>2</v>
      </c>
      <c r="E287">
        <f ca="1">VLOOKUP(B287,Dish!$A$1:$C$91,3,FALSE)</f>
        <v>6</v>
      </c>
      <c r="F287" t="e">
        <f>VLOOKUP(C287,'Ingredient Confirm'!$B$1:$F$406,6,FALSE)</f>
        <v>#REF!</v>
      </c>
      <c r="G287" t="str">
        <f>VLOOKUP(C287,'Ingredient Confirm'!$B$1:$F$406,2,FALSE)</f>
        <v>can</v>
      </c>
    </row>
    <row r="288" spans="2:7" x14ac:dyDescent="0.25">
      <c r="B288">
        <f t="shared" ref="B288:B300" ca="1" si="10">RANDBETWEEN(7,96)</f>
        <v>7</v>
      </c>
      <c r="C288" t="str">
        <f>randomselection('Ingredient Confirm'!$B$2:$B$406)</f>
        <v>red snapper</v>
      </c>
      <c r="D288">
        <f t="shared" ref="D288:D300" ca="1" si="11">RANDBETWEEN(1,2)</f>
        <v>1</v>
      </c>
      <c r="E288">
        <f ca="1">VLOOKUP(B288,Dish!$A$1:$C$91,3,FALSE)</f>
        <v>15</v>
      </c>
      <c r="F288" t="e">
        <f>VLOOKUP(C288,'Ingredient Confirm'!$B$1:$F$406,6,FALSE)</f>
        <v>#REF!</v>
      </c>
      <c r="G288" t="str">
        <f>VLOOKUP(C288,'Ingredient Confirm'!$B$1:$F$406,2,FALSE)</f>
        <v>piece</v>
      </c>
    </row>
    <row r="289" spans="2:7" x14ac:dyDescent="0.25">
      <c r="B289">
        <f t="shared" ca="1" si="10"/>
        <v>35</v>
      </c>
      <c r="C289" t="str">
        <f>randomselection('Ingredient Confirm'!$B$2:$B$406)</f>
        <v>apples</v>
      </c>
      <c r="D289">
        <f t="shared" ca="1" si="11"/>
        <v>1</v>
      </c>
      <c r="E289">
        <f ca="1">VLOOKUP(B289,Dish!$A$1:$C$91,3,FALSE)</f>
        <v>7</v>
      </c>
      <c r="F289" t="e">
        <f>VLOOKUP(C289,'Ingredient Confirm'!$B$1:$F$406,6,FALSE)</f>
        <v>#REF!</v>
      </c>
      <c r="G289" t="str">
        <f>VLOOKUP(C289,'Ingredient Confirm'!$B$1:$F$406,2,FALSE)</f>
        <v>package</v>
      </c>
    </row>
    <row r="290" spans="2:7" x14ac:dyDescent="0.25">
      <c r="B290">
        <f t="shared" ca="1" si="10"/>
        <v>56</v>
      </c>
      <c r="C290" t="str">
        <f>randomselection('Ingredient Confirm'!$B$2:$B$406)</f>
        <v>leeks</v>
      </c>
      <c r="D290">
        <f t="shared" ca="1" si="11"/>
        <v>2</v>
      </c>
      <c r="E290">
        <f ca="1">VLOOKUP(B290,Dish!$A$1:$C$91,3,FALSE)</f>
        <v>3</v>
      </c>
      <c r="F290" t="e">
        <f>VLOOKUP(C290,'Ingredient Confirm'!$B$1:$F$406,6,FALSE)</f>
        <v>#REF!</v>
      </c>
      <c r="G290" t="str">
        <f>VLOOKUP(C290,'Ingredient Confirm'!$B$1:$F$406,2,FALSE)</f>
        <v>package</v>
      </c>
    </row>
    <row r="291" spans="2:7" x14ac:dyDescent="0.25">
      <c r="B291">
        <f t="shared" ca="1" si="10"/>
        <v>42</v>
      </c>
      <c r="C291" t="str">
        <f>randomselection('Ingredient Confirm'!$B$2:$B$406)</f>
        <v>spearmint</v>
      </c>
      <c r="D291">
        <f t="shared" ca="1" si="11"/>
        <v>2</v>
      </c>
      <c r="E291">
        <f ca="1">VLOOKUP(B291,Dish!$A$1:$C$91,3,FALSE)</f>
        <v>13</v>
      </c>
      <c r="F291" t="e">
        <f>VLOOKUP(C291,'Ingredient Confirm'!$B$1:$F$406,6,FALSE)</f>
        <v>#REF!</v>
      </c>
      <c r="G291" t="str">
        <f>VLOOKUP(C291,'Ingredient Confirm'!$B$1:$F$406,2,FALSE)</f>
        <v>package</v>
      </c>
    </row>
    <row r="292" spans="2:7" x14ac:dyDescent="0.25">
      <c r="B292">
        <f t="shared" ca="1" si="10"/>
        <v>73</v>
      </c>
      <c r="C292" t="str">
        <f>randomselection('Ingredient Confirm'!$B$2:$B$406)</f>
        <v>garlic</v>
      </c>
      <c r="D292">
        <f t="shared" ca="1" si="11"/>
        <v>2</v>
      </c>
      <c r="E292">
        <f ca="1">VLOOKUP(B292,Dish!$A$1:$C$91,3,FALSE)</f>
        <v>3</v>
      </c>
      <c r="F292" t="e">
        <f>VLOOKUP(C292,'Ingredient Confirm'!$B$1:$F$406,6,FALSE)</f>
        <v>#REF!</v>
      </c>
      <c r="G292" t="str">
        <f>VLOOKUP(C292,'Ingredient Confirm'!$B$1:$F$406,2,FALSE)</f>
        <v>piece</v>
      </c>
    </row>
    <row r="293" spans="2:7" x14ac:dyDescent="0.25">
      <c r="B293">
        <f t="shared" ca="1" si="10"/>
        <v>47</v>
      </c>
      <c r="C293" t="str">
        <f>randomselection('Ingredient Confirm'!$B$2:$B$406)</f>
        <v>tea</v>
      </c>
      <c r="D293">
        <f t="shared" ca="1" si="11"/>
        <v>1</v>
      </c>
      <c r="E293">
        <f ca="1">VLOOKUP(B293,Dish!$A$1:$C$91,3,FALSE)</f>
        <v>13</v>
      </c>
      <c r="F293" t="e">
        <f>VLOOKUP(C293,'Ingredient Confirm'!$B$1:$F$406,6,FALSE)</f>
        <v>#REF!</v>
      </c>
      <c r="G293" t="str">
        <f>VLOOKUP(C293,'Ingredient Confirm'!$B$1:$F$406,2,FALSE)</f>
        <v>package</v>
      </c>
    </row>
    <row r="294" spans="2:7" x14ac:dyDescent="0.25">
      <c r="B294">
        <f t="shared" ca="1" si="10"/>
        <v>60</v>
      </c>
      <c r="C294" t="str">
        <f>randomselection('Ingredient Confirm'!$B$2:$B$406)</f>
        <v>peaches</v>
      </c>
      <c r="D294">
        <f t="shared" ca="1" si="11"/>
        <v>1</v>
      </c>
      <c r="E294">
        <f ca="1">VLOOKUP(B294,Dish!$A$1:$C$91,3,FALSE)</f>
        <v>5</v>
      </c>
      <c r="F294" t="e">
        <f>VLOOKUP(C294,'Ingredient Confirm'!$B$1:$F$406,6,FALSE)</f>
        <v>#REF!</v>
      </c>
      <c r="G294" t="str">
        <f>VLOOKUP(C294,'Ingredient Confirm'!$B$1:$F$406,2,FALSE)</f>
        <v>can</v>
      </c>
    </row>
    <row r="295" spans="2:7" x14ac:dyDescent="0.25">
      <c r="B295">
        <f t="shared" ca="1" si="10"/>
        <v>19</v>
      </c>
      <c r="C295" t="str">
        <f>randomselection('Ingredient Confirm'!$B$2:$B$406)</f>
        <v>french fries</v>
      </c>
      <c r="D295">
        <f t="shared" ca="1" si="11"/>
        <v>2</v>
      </c>
      <c r="E295">
        <f ca="1">VLOOKUP(B295,Dish!$A$1:$C$91,3,FALSE)</f>
        <v>13</v>
      </c>
      <c r="F295" t="e">
        <f>VLOOKUP(C295,'Ingredient Confirm'!$B$1:$F$406,6,FALSE)</f>
        <v>#REF!</v>
      </c>
      <c r="G295" t="str">
        <f>VLOOKUP(C295,'Ingredient Confirm'!$B$1:$F$406,2,FALSE)</f>
        <v>package</v>
      </c>
    </row>
    <row r="296" spans="2:7" x14ac:dyDescent="0.25">
      <c r="B296">
        <f t="shared" ca="1" si="10"/>
        <v>50</v>
      </c>
      <c r="C296" t="str">
        <f>randomselection('Ingredient Confirm'!$B$2:$B$406)</f>
        <v>liver</v>
      </c>
      <c r="D296">
        <f t="shared" ca="1" si="11"/>
        <v>2</v>
      </c>
      <c r="E296">
        <f ca="1">VLOOKUP(B296,Dish!$A$1:$C$91,3,FALSE)</f>
        <v>8</v>
      </c>
      <c r="F296" t="e">
        <f>VLOOKUP(C296,'Ingredient Confirm'!$B$1:$F$406,6,FALSE)</f>
        <v>#REF!</v>
      </c>
      <c r="G296" t="str">
        <f>VLOOKUP(C296,'Ingredient Confirm'!$B$1:$F$406,2,FALSE)</f>
        <v>piece</v>
      </c>
    </row>
    <row r="297" spans="2:7" x14ac:dyDescent="0.25">
      <c r="B297">
        <f t="shared" ca="1" si="10"/>
        <v>65</v>
      </c>
      <c r="C297" t="str">
        <f>randomselection('Ingredient Confirm'!$B$2:$B$406)</f>
        <v>Marsala</v>
      </c>
      <c r="D297">
        <f t="shared" ca="1" si="11"/>
        <v>2</v>
      </c>
      <c r="E297">
        <f ca="1">VLOOKUP(B297,Dish!$A$1:$C$91,3,FALSE)</f>
        <v>2</v>
      </c>
      <c r="F297" t="e">
        <f>VLOOKUP(C297,'Ingredient Confirm'!$B$1:$F$406,6,FALSE)</f>
        <v>#REF!</v>
      </c>
      <c r="G297" t="str">
        <f>VLOOKUP(C297,'Ingredient Confirm'!$B$1:$F$406,2,FALSE)</f>
        <v>can</v>
      </c>
    </row>
    <row r="298" spans="2:7" x14ac:dyDescent="0.25">
      <c r="B298">
        <f t="shared" ca="1" si="10"/>
        <v>52</v>
      </c>
      <c r="C298" t="str">
        <f>randomselection('Ingredient Confirm'!$B$2:$B$406)</f>
        <v>ale</v>
      </c>
      <c r="D298">
        <f t="shared" ca="1" si="11"/>
        <v>1</v>
      </c>
      <c r="E298">
        <f ca="1">VLOOKUP(B298,Dish!$A$1:$C$91,3,FALSE)</f>
        <v>8</v>
      </c>
      <c r="F298" t="e">
        <f>VLOOKUP(C298,'Ingredient Confirm'!$B$1:$F$406,6,FALSE)</f>
        <v>#REF!</v>
      </c>
      <c r="G298" t="str">
        <f>VLOOKUP(C298,'Ingredient Confirm'!$B$1:$F$406,2,FALSE)</f>
        <v>package</v>
      </c>
    </row>
    <row r="299" spans="2:7" x14ac:dyDescent="0.25">
      <c r="B299">
        <f t="shared" ca="1" si="10"/>
        <v>74</v>
      </c>
      <c r="C299" t="str">
        <f>randomselection('Ingredient Confirm'!$B$2:$B$406)</f>
        <v>cream cheese</v>
      </c>
      <c r="D299">
        <f t="shared" ca="1" si="11"/>
        <v>2</v>
      </c>
      <c r="E299">
        <f ca="1">VLOOKUP(B299,Dish!$A$1:$C$91,3,FALSE)</f>
        <v>14</v>
      </c>
      <c r="F299" t="e">
        <f>VLOOKUP(C299,'Ingredient Confirm'!$B$1:$F$406,6,FALSE)</f>
        <v>#REF!</v>
      </c>
      <c r="G299" t="str">
        <f>VLOOKUP(C299,'Ingredient Confirm'!$B$1:$F$406,2,FALSE)</f>
        <v>package</v>
      </c>
    </row>
    <row r="300" spans="2:7" x14ac:dyDescent="0.25">
      <c r="B300">
        <f t="shared" ca="1" si="10"/>
        <v>77</v>
      </c>
      <c r="C300" t="str">
        <f>randomselection('Ingredient Confirm'!$B$2:$B$406)</f>
        <v>grouper</v>
      </c>
      <c r="D300">
        <f t="shared" ca="1" si="11"/>
        <v>1</v>
      </c>
      <c r="E300">
        <f ca="1">VLOOKUP(B300,Dish!$A$1:$C$91,3,FALSE)</f>
        <v>9</v>
      </c>
      <c r="F300" t="e">
        <f>VLOOKUP(C300,'Ingredient Confirm'!$B$1:$F$406,6,FALSE)</f>
        <v>#REF!</v>
      </c>
      <c r="G300" t="str">
        <f>VLOOKUP(C300,'Ingredient Confirm'!$B$1:$F$406,2,FALSE)</f>
        <v>piece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292"/>
  <sheetViews>
    <sheetView topLeftCell="E1" workbookViewId="0">
      <selection activeCell="H1" sqref="H1:I1048576"/>
    </sheetView>
  </sheetViews>
  <sheetFormatPr defaultRowHeight="15" x14ac:dyDescent="0.25"/>
  <cols>
    <col min="2" max="7" width="20.5703125" customWidth="1"/>
    <col min="8" max="8" width="39.140625" customWidth="1"/>
  </cols>
  <sheetData>
    <row r="2" spans="2:9" x14ac:dyDescent="0.25">
      <c r="B2" t="s">
        <v>427</v>
      </c>
      <c r="C2" t="s">
        <v>198</v>
      </c>
      <c r="D2" t="s">
        <v>559</v>
      </c>
      <c r="E2" t="s">
        <v>182</v>
      </c>
      <c r="F2" t="s">
        <v>59</v>
      </c>
      <c r="G2" t="s">
        <v>560</v>
      </c>
    </row>
    <row r="3" spans="2:9" x14ac:dyDescent="0.25">
      <c r="B3">
        <v>7</v>
      </c>
      <c r="C3" t="s">
        <v>217</v>
      </c>
      <c r="D3">
        <v>1</v>
      </c>
      <c r="E3">
        <v>15</v>
      </c>
      <c r="F3">
        <v>7</v>
      </c>
      <c r="G3" t="s">
        <v>203</v>
      </c>
      <c r="H3" t="str">
        <f>SqlGenerator(B3:G3)</f>
        <v>(7,'borscht',1,15,7,'bottle'),</v>
      </c>
    </row>
    <row r="4" spans="2:9" x14ac:dyDescent="0.25">
      <c r="B4">
        <v>7</v>
      </c>
      <c r="C4" t="s">
        <v>228</v>
      </c>
      <c r="D4">
        <v>2</v>
      </c>
      <c r="E4">
        <v>15</v>
      </c>
      <c r="F4">
        <v>9</v>
      </c>
      <c r="G4" t="s">
        <v>201</v>
      </c>
      <c r="H4" t="str">
        <f>SqlGenerator(B4:G4)</f>
        <v>(7,'red pepper flakes',2,15,9,'package'),</v>
      </c>
      <c r="I4" t="str">
        <f>IF(C3=C4,"same","not")</f>
        <v>not</v>
      </c>
    </row>
    <row r="5" spans="2:9" x14ac:dyDescent="0.25">
      <c r="B5">
        <v>7</v>
      </c>
      <c r="C5" t="s">
        <v>222</v>
      </c>
      <c r="D5">
        <v>2</v>
      </c>
      <c r="E5">
        <v>15</v>
      </c>
      <c r="F5">
        <v>6</v>
      </c>
      <c r="G5" t="s">
        <v>201</v>
      </c>
      <c r="H5" t="str">
        <f>SqlGenerator(B5:G5)</f>
        <v>(7,'spaghetti squash',2,15,6,'package'),</v>
      </c>
      <c r="I5" t="str">
        <f>IF(C4=C5,"same","not")</f>
        <v>not</v>
      </c>
    </row>
    <row r="6" spans="2:9" x14ac:dyDescent="0.25">
      <c r="B6">
        <v>8</v>
      </c>
      <c r="C6" t="s">
        <v>210</v>
      </c>
      <c r="D6">
        <v>1</v>
      </c>
      <c r="E6">
        <v>5</v>
      </c>
      <c r="F6">
        <v>7</v>
      </c>
      <c r="G6" t="s">
        <v>201</v>
      </c>
    </row>
    <row r="7" spans="2:9" x14ac:dyDescent="0.25">
      <c r="B7">
        <v>8</v>
      </c>
      <c r="C7" t="s">
        <v>252</v>
      </c>
      <c r="D7">
        <v>1</v>
      </c>
      <c r="E7">
        <v>5</v>
      </c>
      <c r="F7">
        <v>7</v>
      </c>
      <c r="G7" t="s">
        <v>200</v>
      </c>
    </row>
    <row r="8" spans="2:9" x14ac:dyDescent="0.25">
      <c r="B8">
        <v>8</v>
      </c>
      <c r="C8" t="s">
        <v>247</v>
      </c>
      <c r="D8">
        <v>1</v>
      </c>
      <c r="E8">
        <v>5</v>
      </c>
      <c r="F8">
        <v>8</v>
      </c>
      <c r="G8" t="s">
        <v>200</v>
      </c>
      <c r="H8" t="str">
        <f>SqlGenerator(B8:G8)</f>
        <v>(8,'peaches',1,5,8,'can'),</v>
      </c>
      <c r="I8" t="str">
        <f>IF(C5=C8,"same","not")</f>
        <v>not</v>
      </c>
    </row>
    <row r="9" spans="2:9" x14ac:dyDescent="0.25">
      <c r="B9">
        <v>8</v>
      </c>
      <c r="C9" t="s">
        <v>254</v>
      </c>
      <c r="D9">
        <v>1</v>
      </c>
      <c r="E9">
        <v>5</v>
      </c>
      <c r="F9">
        <v>8</v>
      </c>
      <c r="G9" t="s">
        <v>201</v>
      </c>
      <c r="H9" t="str">
        <f>SqlGenerator(B9:G9)</f>
        <v>(8,'provolone',1,5,8,'package'),</v>
      </c>
      <c r="I9" t="str">
        <f>IF(C8=C9,"same","not")</f>
        <v>not</v>
      </c>
    </row>
    <row r="10" spans="2:9" x14ac:dyDescent="0.25">
      <c r="B10">
        <v>9</v>
      </c>
      <c r="C10" t="s">
        <v>292</v>
      </c>
      <c r="D10">
        <v>2</v>
      </c>
      <c r="E10">
        <v>7</v>
      </c>
      <c r="F10">
        <v>11</v>
      </c>
      <c r="G10" t="s">
        <v>200</v>
      </c>
      <c r="H10" t="str">
        <f>SqlGenerator(B10:G10)</f>
        <v>(9,'bay leaves',2,7,11,'can'),</v>
      </c>
      <c r="I10" t="str">
        <f>IF(C9=C10,"same","not")</f>
        <v>not</v>
      </c>
    </row>
    <row r="11" spans="2:9" x14ac:dyDescent="0.25">
      <c r="B11">
        <v>9</v>
      </c>
      <c r="C11" t="s">
        <v>260</v>
      </c>
      <c r="D11">
        <v>2</v>
      </c>
      <c r="E11">
        <v>7</v>
      </c>
      <c r="F11">
        <v>23</v>
      </c>
      <c r="G11" t="s">
        <v>202</v>
      </c>
      <c r="H11" t="str">
        <f>SqlGenerator(B11:G11)</f>
        <v>(9,'Canadian bacon',2,7,23,'piece'),</v>
      </c>
      <c r="I11" t="str">
        <f>IF(C10=C11,"same","not")</f>
        <v>not</v>
      </c>
    </row>
    <row r="12" spans="2:9" x14ac:dyDescent="0.25">
      <c r="B12">
        <v>9</v>
      </c>
      <c r="C12" t="s">
        <v>294</v>
      </c>
      <c r="D12">
        <v>2</v>
      </c>
      <c r="E12">
        <v>7</v>
      </c>
      <c r="F12">
        <v>11</v>
      </c>
      <c r="G12" t="s">
        <v>201</v>
      </c>
      <c r="H12" t="str">
        <f>SqlGenerator(B12:G12)</f>
        <v>(9,'sesame seeds',2,7,11,'package'),</v>
      </c>
      <c r="I12" t="str">
        <f>IF(C11=C12,"same","not")</f>
        <v>not</v>
      </c>
    </row>
    <row r="13" spans="2:9" x14ac:dyDescent="0.25">
      <c r="B13">
        <v>10</v>
      </c>
      <c r="C13" t="s">
        <v>245</v>
      </c>
      <c r="D13">
        <v>2</v>
      </c>
      <c r="E13">
        <v>8</v>
      </c>
      <c r="F13">
        <v>23</v>
      </c>
      <c r="G13" t="s">
        <v>201</v>
      </c>
      <c r="H13" t="str">
        <f>SqlGenerator(B13:G13)</f>
        <v>(10,'ale',2,8,23,'package'),</v>
      </c>
      <c r="I13" t="str">
        <f>IF(C12=C13,"same","not")</f>
        <v>not</v>
      </c>
    </row>
    <row r="14" spans="2:9" x14ac:dyDescent="0.25">
      <c r="B14">
        <v>10</v>
      </c>
      <c r="C14" t="s">
        <v>266</v>
      </c>
      <c r="D14">
        <v>1</v>
      </c>
      <c r="E14">
        <v>8</v>
      </c>
      <c r="F14">
        <v>7</v>
      </c>
      <c r="G14" t="s">
        <v>200</v>
      </c>
      <c r="H14" t="str">
        <f>SqlGenerator(B14:G14)</f>
        <v>(10,'cornmeal',1,8,7,'can'),</v>
      </c>
      <c r="I14" t="str">
        <f>IF(C13=C14,"same","not")</f>
        <v>not</v>
      </c>
    </row>
    <row r="15" spans="2:9" x14ac:dyDescent="0.25">
      <c r="B15">
        <v>11</v>
      </c>
      <c r="C15" t="s">
        <v>258</v>
      </c>
      <c r="D15">
        <v>1</v>
      </c>
      <c r="E15">
        <v>10</v>
      </c>
      <c r="F15">
        <v>9</v>
      </c>
      <c r="G15" t="s">
        <v>201</v>
      </c>
      <c r="H15" t="str">
        <f>SqlGenerator(B15:G15)</f>
        <v>(11,'colby cheese',1,10,9,'package'),</v>
      </c>
      <c r="I15" t="str">
        <f>IF(C14=C15,"same","not")</f>
        <v>not</v>
      </c>
    </row>
    <row r="16" spans="2:9" x14ac:dyDescent="0.25">
      <c r="B16">
        <v>11</v>
      </c>
      <c r="C16" t="s">
        <v>241</v>
      </c>
      <c r="D16">
        <v>1</v>
      </c>
      <c r="E16">
        <v>10</v>
      </c>
      <c r="F16">
        <v>24</v>
      </c>
      <c r="G16" t="s">
        <v>201</v>
      </c>
      <c r="H16" t="str">
        <f>SqlGenerator(B16:G16)</f>
        <v>(11,'hash browns',1,10,24,'package'),</v>
      </c>
      <c r="I16" t="str">
        <f>IF(C15=C16,"same","not")</f>
        <v>not</v>
      </c>
    </row>
    <row r="17" spans="2:9" x14ac:dyDescent="0.25">
      <c r="B17">
        <v>11</v>
      </c>
      <c r="C17" t="s">
        <v>228</v>
      </c>
      <c r="D17">
        <v>2</v>
      </c>
      <c r="E17">
        <v>10</v>
      </c>
      <c r="F17">
        <v>9</v>
      </c>
      <c r="G17" t="s">
        <v>201</v>
      </c>
      <c r="H17" t="str">
        <f>SqlGenerator(B17:G17)</f>
        <v>(11,'red pepper flakes',2,10,9,'package'),</v>
      </c>
      <c r="I17" t="str">
        <f>IF(C16=C17,"same","not")</f>
        <v>not</v>
      </c>
    </row>
    <row r="18" spans="2:9" x14ac:dyDescent="0.25">
      <c r="B18">
        <v>12</v>
      </c>
      <c r="C18" t="s">
        <v>233</v>
      </c>
      <c r="D18">
        <v>2</v>
      </c>
      <c r="E18">
        <v>14</v>
      </c>
      <c r="F18">
        <v>23</v>
      </c>
      <c r="G18" t="s">
        <v>201</v>
      </c>
      <c r="H18" t="str">
        <f>SqlGenerator(B18:G18)</f>
        <v>(12,'acorn squash',2,14,23,'package'),</v>
      </c>
      <c r="I18" t="str">
        <f>IF(C17=C18,"same","not")</f>
        <v>not</v>
      </c>
    </row>
    <row r="19" spans="2:9" x14ac:dyDescent="0.25">
      <c r="B19">
        <v>12</v>
      </c>
      <c r="C19" t="s">
        <v>258</v>
      </c>
      <c r="D19">
        <v>1</v>
      </c>
      <c r="E19">
        <v>14</v>
      </c>
      <c r="F19">
        <v>9</v>
      </c>
      <c r="G19" t="s">
        <v>201</v>
      </c>
      <c r="H19" t="str">
        <f>SqlGenerator(B19:G19)</f>
        <v>(12,'colby cheese',1,14,9,'package'),</v>
      </c>
      <c r="I19" t="str">
        <f>IF(C18=C19,"same","not")</f>
        <v>not</v>
      </c>
    </row>
    <row r="20" spans="2:9" x14ac:dyDescent="0.25">
      <c r="B20">
        <v>12</v>
      </c>
      <c r="C20" t="s">
        <v>291</v>
      </c>
      <c r="D20">
        <v>2</v>
      </c>
      <c r="E20">
        <v>14</v>
      </c>
      <c r="F20">
        <v>37</v>
      </c>
      <c r="G20" t="s">
        <v>200</v>
      </c>
      <c r="H20" t="str">
        <f>SqlGenerator(B20:G20)</f>
        <v>(12,'flax seed',2,14,37,'can'),</v>
      </c>
      <c r="I20" t="str">
        <f>IF(C19=C20,"same","not")</f>
        <v>not</v>
      </c>
    </row>
    <row r="21" spans="2:9" x14ac:dyDescent="0.25">
      <c r="B21">
        <v>12</v>
      </c>
      <c r="C21" t="s">
        <v>254</v>
      </c>
      <c r="D21">
        <v>2</v>
      </c>
      <c r="E21">
        <v>14</v>
      </c>
      <c r="F21">
        <v>8</v>
      </c>
      <c r="G21" t="s">
        <v>201</v>
      </c>
      <c r="H21" t="str">
        <f>SqlGenerator(B21:G21)</f>
        <v>(12,'provolone',2,14,8,'package'),</v>
      </c>
      <c r="I21" t="str">
        <f>IF(C20=C21,"same","not")</f>
        <v>not</v>
      </c>
    </row>
    <row r="22" spans="2:9" x14ac:dyDescent="0.25">
      <c r="B22">
        <v>12</v>
      </c>
      <c r="C22" t="s">
        <v>230</v>
      </c>
      <c r="D22">
        <v>2</v>
      </c>
      <c r="E22">
        <v>14</v>
      </c>
      <c r="F22">
        <v>10</v>
      </c>
      <c r="G22" t="s">
        <v>201</v>
      </c>
      <c r="H22" t="str">
        <f>SqlGenerator(B22:G22)</f>
        <v>(12,'spearmint',2,14,10,'package'),</v>
      </c>
      <c r="I22" t="str">
        <f>IF(C21=C22,"same","not")</f>
        <v>not</v>
      </c>
    </row>
    <row r="23" spans="2:9" x14ac:dyDescent="0.25">
      <c r="B23">
        <v>13</v>
      </c>
      <c r="C23" t="s">
        <v>210</v>
      </c>
      <c r="D23">
        <v>1</v>
      </c>
      <c r="E23">
        <v>4</v>
      </c>
      <c r="F23">
        <v>7</v>
      </c>
      <c r="G23" t="s">
        <v>201</v>
      </c>
    </row>
    <row r="24" spans="2:9" x14ac:dyDescent="0.25">
      <c r="B24">
        <v>13</v>
      </c>
      <c r="C24" t="s">
        <v>278</v>
      </c>
      <c r="D24">
        <v>1</v>
      </c>
      <c r="E24">
        <v>4</v>
      </c>
      <c r="F24">
        <v>7</v>
      </c>
      <c r="G24" t="s">
        <v>202</v>
      </c>
    </row>
    <row r="25" spans="2:9" x14ac:dyDescent="0.25">
      <c r="B25">
        <v>13</v>
      </c>
      <c r="C25" t="s">
        <v>235</v>
      </c>
      <c r="D25">
        <v>1</v>
      </c>
      <c r="E25">
        <v>4</v>
      </c>
      <c r="F25">
        <v>6</v>
      </c>
      <c r="G25" t="s">
        <v>202</v>
      </c>
      <c r="H25" t="str">
        <f>SqlGenerator(B25:G25)</f>
        <v>(13,'garlic',1,4,6,'piece'),</v>
      </c>
      <c r="I25" t="str">
        <f>IF(C22=C25,"same","not")</f>
        <v>not</v>
      </c>
    </row>
    <row r="26" spans="2:9" x14ac:dyDescent="0.25">
      <c r="B26">
        <v>13</v>
      </c>
      <c r="C26" t="s">
        <v>239</v>
      </c>
      <c r="D26">
        <v>2</v>
      </c>
      <c r="E26">
        <v>4</v>
      </c>
      <c r="F26">
        <v>6</v>
      </c>
      <c r="G26" t="s">
        <v>200</v>
      </c>
      <c r="H26" t="str">
        <f>SqlGenerator(B26:G26)</f>
        <v>(13,'pasta',2,4,6,'can'),</v>
      </c>
      <c r="I26" t="str">
        <f>IF(C25=C26,"same","not")</f>
        <v>not</v>
      </c>
    </row>
    <row r="27" spans="2:9" x14ac:dyDescent="0.25">
      <c r="B27">
        <v>14</v>
      </c>
      <c r="C27" t="s">
        <v>285</v>
      </c>
      <c r="D27">
        <v>1</v>
      </c>
      <c r="E27">
        <v>2</v>
      </c>
      <c r="F27">
        <v>10</v>
      </c>
      <c r="G27" t="s">
        <v>200</v>
      </c>
      <c r="H27" t="str">
        <f>SqlGenerator(B27:G27)</f>
        <v>(14,'granola',1,2,10,'can'),</v>
      </c>
      <c r="I27" t="str">
        <f>IF(C26=C27,"same","not")</f>
        <v>not</v>
      </c>
    </row>
    <row r="28" spans="2:9" x14ac:dyDescent="0.25">
      <c r="B28">
        <v>14</v>
      </c>
      <c r="C28" t="s">
        <v>278</v>
      </c>
      <c r="D28">
        <v>1</v>
      </c>
      <c r="E28">
        <v>2</v>
      </c>
      <c r="F28">
        <v>7</v>
      </c>
      <c r="G28" t="s">
        <v>202</v>
      </c>
      <c r="H28" t="str">
        <f>SqlGenerator(B28:G28)</f>
        <v>(14,'grouper',1,2,7,'piece'),</v>
      </c>
      <c r="I28" t="str">
        <f>IF(C27=C28,"same","not")</f>
        <v>not</v>
      </c>
    </row>
    <row r="29" spans="2:9" x14ac:dyDescent="0.25">
      <c r="B29">
        <v>14</v>
      </c>
      <c r="C29" t="s">
        <v>275</v>
      </c>
      <c r="D29">
        <v>2</v>
      </c>
      <c r="E29">
        <v>2</v>
      </c>
      <c r="F29">
        <v>17</v>
      </c>
      <c r="G29" t="s">
        <v>201</v>
      </c>
      <c r="H29" t="str">
        <f>SqlGenerator(B29:G29)</f>
        <v>(14,'ricotta cheese',2,2,17,'package'),</v>
      </c>
      <c r="I29" t="str">
        <f>IF(C28=C29,"same","not")</f>
        <v>not</v>
      </c>
    </row>
    <row r="30" spans="2:9" x14ac:dyDescent="0.25">
      <c r="B30">
        <v>14</v>
      </c>
      <c r="C30" t="s">
        <v>230</v>
      </c>
      <c r="D30">
        <v>2</v>
      </c>
      <c r="E30">
        <v>2</v>
      </c>
      <c r="F30">
        <v>10</v>
      </c>
      <c r="G30" t="s">
        <v>201</v>
      </c>
      <c r="H30" t="str">
        <f>SqlGenerator(B30:G30)</f>
        <v>(14,'spearmint',2,2,10,'package'),</v>
      </c>
      <c r="I30" t="str">
        <f>IF(C29=C30,"same","not")</f>
        <v>not</v>
      </c>
    </row>
    <row r="31" spans="2:9" x14ac:dyDescent="0.25">
      <c r="B31">
        <v>15</v>
      </c>
      <c r="C31" t="s">
        <v>242</v>
      </c>
      <c r="D31">
        <v>1</v>
      </c>
      <c r="E31">
        <v>12</v>
      </c>
      <c r="F31">
        <v>11</v>
      </c>
      <c r="G31" t="s">
        <v>200</v>
      </c>
      <c r="H31" t="str">
        <f>SqlGenerator(B31:G31)</f>
        <v>(15,'black-eyed peas',1,12,11,'can'),</v>
      </c>
      <c r="I31" t="str">
        <f>IF(C30=C31,"same","not")</f>
        <v>not</v>
      </c>
    </row>
    <row r="32" spans="2:9" x14ac:dyDescent="0.25">
      <c r="B32">
        <v>15</v>
      </c>
      <c r="C32" t="s">
        <v>274</v>
      </c>
      <c r="D32">
        <v>2</v>
      </c>
      <c r="E32">
        <v>12</v>
      </c>
      <c r="F32">
        <v>17</v>
      </c>
      <c r="G32" t="s">
        <v>200</v>
      </c>
      <c r="H32" t="str">
        <f>SqlGenerator(B32:G32)</f>
        <v>(15,'cremini mushrooms',2,12,17,'can'),</v>
      </c>
      <c r="I32" t="str">
        <f>IF(C31=C32,"same","not")</f>
        <v>not</v>
      </c>
    </row>
    <row r="33" spans="2:9" x14ac:dyDescent="0.25">
      <c r="B33">
        <v>15</v>
      </c>
      <c r="C33" t="s">
        <v>262</v>
      </c>
      <c r="D33">
        <v>2</v>
      </c>
      <c r="E33">
        <v>12</v>
      </c>
      <c r="F33">
        <v>18</v>
      </c>
      <c r="G33" t="s">
        <v>201</v>
      </c>
      <c r="H33" t="str">
        <f>SqlGenerator(B33:G33)</f>
        <v>(15,'feta cheese',2,12,18,'package'),</v>
      </c>
      <c r="I33" t="str">
        <f>IF(C32=C33,"same","not")</f>
        <v>not</v>
      </c>
    </row>
    <row r="34" spans="2:9" x14ac:dyDescent="0.25">
      <c r="B34">
        <v>16</v>
      </c>
      <c r="C34" t="s">
        <v>261</v>
      </c>
      <c r="D34">
        <v>2</v>
      </c>
      <c r="E34">
        <v>9</v>
      </c>
      <c r="F34">
        <v>7</v>
      </c>
      <c r="G34" t="s">
        <v>203</v>
      </c>
      <c r="H34" t="str">
        <f>SqlGenerator(B34:G34)</f>
        <v>(16,'coconut oil',2,9,7,'bottle'),</v>
      </c>
      <c r="I34" t="str">
        <f>IF(C33=C34,"same","not")</f>
        <v>not</v>
      </c>
    </row>
    <row r="35" spans="2:9" x14ac:dyDescent="0.25">
      <c r="B35">
        <v>16</v>
      </c>
      <c r="C35" t="s">
        <v>280</v>
      </c>
      <c r="D35">
        <v>1</v>
      </c>
      <c r="E35">
        <v>9</v>
      </c>
      <c r="F35">
        <v>10</v>
      </c>
      <c r="G35" t="s">
        <v>200</v>
      </c>
      <c r="H35" t="str">
        <f>SqlGenerator(B35:G35)</f>
        <v>(16,'cornstarch',1,9,10,'can'),</v>
      </c>
      <c r="I35" t="str">
        <f>IF(C34=C35,"same","not")</f>
        <v>not</v>
      </c>
    </row>
    <row r="36" spans="2:9" x14ac:dyDescent="0.25">
      <c r="B36">
        <v>17</v>
      </c>
      <c r="C36" t="s">
        <v>216</v>
      </c>
      <c r="D36">
        <v>2</v>
      </c>
      <c r="E36">
        <v>2</v>
      </c>
      <c r="F36">
        <v>14</v>
      </c>
      <c r="G36" t="s">
        <v>200</v>
      </c>
      <c r="H36" t="str">
        <f>SqlGenerator(B36:G36)</f>
        <v>(17,'gelatin',2,2,14,'can'),</v>
      </c>
      <c r="I36" t="str">
        <f>IF(C35=C36,"same","not")</f>
        <v>not</v>
      </c>
    </row>
    <row r="37" spans="2:9" x14ac:dyDescent="0.25">
      <c r="B37">
        <v>17</v>
      </c>
      <c r="C37" t="s">
        <v>278</v>
      </c>
      <c r="D37">
        <v>1</v>
      </c>
      <c r="E37">
        <v>2</v>
      </c>
      <c r="F37">
        <v>7</v>
      </c>
      <c r="G37" t="s">
        <v>202</v>
      </c>
      <c r="H37" t="str">
        <f>SqlGenerator(B37:G37)</f>
        <v>(17,'grouper',1,2,7,'piece'),</v>
      </c>
      <c r="I37" t="str">
        <f>IF(C36=C37,"same","not")</f>
        <v>not</v>
      </c>
    </row>
    <row r="38" spans="2:9" x14ac:dyDescent="0.25">
      <c r="B38">
        <v>17</v>
      </c>
      <c r="C38" t="s">
        <v>244</v>
      </c>
      <c r="D38">
        <v>1</v>
      </c>
      <c r="E38">
        <v>2</v>
      </c>
      <c r="F38">
        <v>24</v>
      </c>
      <c r="G38" t="s">
        <v>202</v>
      </c>
      <c r="H38" t="str">
        <f>SqlGenerator(B38:G38)</f>
        <v>(17,'lobsters',1,2,24,'piece'),</v>
      </c>
      <c r="I38" t="str">
        <f>IF(C37=C38,"same","not")</f>
        <v>not</v>
      </c>
    </row>
    <row r="39" spans="2:9" x14ac:dyDescent="0.25">
      <c r="B39">
        <v>18</v>
      </c>
      <c r="C39" t="s">
        <v>261</v>
      </c>
      <c r="D39">
        <v>1</v>
      </c>
      <c r="E39">
        <v>12</v>
      </c>
      <c r="F39">
        <v>7</v>
      </c>
      <c r="G39" t="s">
        <v>203</v>
      </c>
      <c r="H39" t="str">
        <f>SqlGenerator(B39:G39)</f>
        <v>(18,'coconut oil',1,12,7,'bottle'),</v>
      </c>
      <c r="I39" t="str">
        <f>IF(C38=C39,"same","not")</f>
        <v>not</v>
      </c>
    </row>
    <row r="40" spans="2:9" x14ac:dyDescent="0.25">
      <c r="B40">
        <v>18</v>
      </c>
      <c r="C40" t="s">
        <v>218</v>
      </c>
      <c r="D40">
        <v>2</v>
      </c>
      <c r="E40">
        <v>12</v>
      </c>
      <c r="F40">
        <v>21</v>
      </c>
      <c r="G40" t="s">
        <v>200</v>
      </c>
      <c r="H40" t="str">
        <f>SqlGenerator(B40:G40)</f>
        <v>(18,'corn',2,12,21,'can'),</v>
      </c>
      <c r="I40" t="str">
        <f>IF(C39=C40,"same","not")</f>
        <v>not</v>
      </c>
    </row>
    <row r="41" spans="2:9" x14ac:dyDescent="0.25">
      <c r="B41">
        <v>18</v>
      </c>
      <c r="C41" t="s">
        <v>287</v>
      </c>
      <c r="D41">
        <v>1</v>
      </c>
      <c r="E41">
        <v>12</v>
      </c>
      <c r="F41">
        <v>10</v>
      </c>
      <c r="G41" t="s">
        <v>200</v>
      </c>
      <c r="H41" t="str">
        <f>SqlGenerator(B41:G41)</f>
        <v>(18,'nectarines',1,12,10,'can'),</v>
      </c>
      <c r="I41" t="str">
        <f>IF(C40=C41,"same","not")</f>
        <v>not</v>
      </c>
    </row>
    <row r="42" spans="2:9" x14ac:dyDescent="0.25">
      <c r="B42">
        <v>18</v>
      </c>
      <c r="C42" t="s">
        <v>275</v>
      </c>
      <c r="D42">
        <v>2</v>
      </c>
      <c r="E42">
        <v>12</v>
      </c>
      <c r="F42">
        <v>17</v>
      </c>
      <c r="G42" t="s">
        <v>201</v>
      </c>
      <c r="H42" t="str">
        <f>SqlGenerator(B42:G42)</f>
        <v>(18,'ricotta cheese',2,12,17,'package'),</v>
      </c>
      <c r="I42" t="str">
        <f>IF(C41=C42,"same","not")</f>
        <v>not</v>
      </c>
    </row>
    <row r="43" spans="2:9" x14ac:dyDescent="0.25">
      <c r="B43">
        <v>18</v>
      </c>
      <c r="C43" t="s">
        <v>264</v>
      </c>
      <c r="D43">
        <v>1</v>
      </c>
      <c r="E43">
        <v>12</v>
      </c>
      <c r="F43">
        <v>22</v>
      </c>
      <c r="G43" t="s">
        <v>200</v>
      </c>
      <c r="H43" t="str">
        <f>SqlGenerator(B43:G43)</f>
        <v>(18,'tomato puree',1,12,22,'can'),</v>
      </c>
      <c r="I43" t="str">
        <f>IF(C42=C43,"same","not")</f>
        <v>not</v>
      </c>
    </row>
    <row r="44" spans="2:9" x14ac:dyDescent="0.25">
      <c r="B44">
        <v>19</v>
      </c>
      <c r="C44" t="s">
        <v>257</v>
      </c>
      <c r="D44">
        <v>1</v>
      </c>
      <c r="E44">
        <v>13</v>
      </c>
      <c r="F44">
        <v>6</v>
      </c>
      <c r="G44" t="s">
        <v>200</v>
      </c>
      <c r="H44" t="str">
        <f>SqlGenerator(B44:G44)</f>
        <v>(19,'cream of tartar',1,13,6,'can'),</v>
      </c>
      <c r="I44" t="str">
        <f>IF(C43=C44,"same","not")</f>
        <v>not</v>
      </c>
    </row>
    <row r="45" spans="2:9" x14ac:dyDescent="0.25">
      <c r="B45">
        <v>19</v>
      </c>
      <c r="C45" t="s">
        <v>274</v>
      </c>
      <c r="D45">
        <v>1</v>
      </c>
      <c r="E45">
        <v>13</v>
      </c>
      <c r="F45">
        <v>17</v>
      </c>
      <c r="G45" t="s">
        <v>200</v>
      </c>
      <c r="H45" t="str">
        <f>SqlGenerator(B45:G45)</f>
        <v>(19,'cremini mushrooms',1,13,17,'can'),</v>
      </c>
      <c r="I45" t="str">
        <f>IF(C44=C45,"same","not")</f>
        <v>not</v>
      </c>
    </row>
    <row r="46" spans="2:9" x14ac:dyDescent="0.25">
      <c r="B46">
        <v>19</v>
      </c>
      <c r="C46" t="s">
        <v>229</v>
      </c>
      <c r="D46">
        <v>2</v>
      </c>
      <c r="E46">
        <v>13</v>
      </c>
      <c r="F46">
        <v>42</v>
      </c>
      <c r="G46" t="s">
        <v>200</v>
      </c>
      <c r="H46" t="str">
        <f>SqlGenerator(B46:G46)</f>
        <v>(19,'plantains',2,13,42,'can'),</v>
      </c>
      <c r="I46" t="str">
        <f>IF(C45=C46,"same","not")</f>
        <v>not</v>
      </c>
    </row>
    <row r="47" spans="2:9" x14ac:dyDescent="0.25">
      <c r="B47">
        <v>19</v>
      </c>
      <c r="C47" t="s">
        <v>228</v>
      </c>
      <c r="D47">
        <v>2</v>
      </c>
      <c r="E47">
        <v>13</v>
      </c>
      <c r="F47">
        <v>9</v>
      </c>
      <c r="G47" t="s">
        <v>201</v>
      </c>
      <c r="H47" t="str">
        <f>SqlGenerator(B47:G47)</f>
        <v>(19,'red pepper flakes',2,13,9,'package'),</v>
      </c>
      <c r="I47" t="str">
        <f>IF(C46=C47,"same","not")</f>
        <v>not</v>
      </c>
    </row>
    <row r="48" spans="2:9" x14ac:dyDescent="0.25">
      <c r="B48">
        <v>19</v>
      </c>
      <c r="C48" t="s">
        <v>275</v>
      </c>
      <c r="D48">
        <v>2</v>
      </c>
      <c r="E48">
        <v>13</v>
      </c>
      <c r="F48">
        <v>17</v>
      </c>
      <c r="G48" t="s">
        <v>201</v>
      </c>
      <c r="H48" t="str">
        <f>SqlGenerator(B48:G48)</f>
        <v>(19,'ricotta cheese',2,13,17,'package'),</v>
      </c>
      <c r="I48" t="str">
        <f>IF(C47=C48,"same","not")</f>
        <v>not</v>
      </c>
    </row>
    <row r="49" spans="2:9" x14ac:dyDescent="0.25">
      <c r="B49">
        <v>21</v>
      </c>
      <c r="C49" t="s">
        <v>258</v>
      </c>
      <c r="D49">
        <v>1</v>
      </c>
      <c r="E49">
        <v>10</v>
      </c>
      <c r="F49">
        <v>9</v>
      </c>
      <c r="G49" t="s">
        <v>201</v>
      </c>
      <c r="H49" t="str">
        <f>SqlGenerator(B49:G49)</f>
        <v>(21,'colby cheese',1,10,9,'package'),</v>
      </c>
      <c r="I49" t="str">
        <f>IF(C48=C49,"same","not")</f>
        <v>not</v>
      </c>
    </row>
    <row r="50" spans="2:9" x14ac:dyDescent="0.25">
      <c r="B50">
        <v>22</v>
      </c>
      <c r="C50" t="s">
        <v>248</v>
      </c>
      <c r="D50">
        <v>2</v>
      </c>
      <c r="E50">
        <v>12</v>
      </c>
      <c r="F50">
        <v>8</v>
      </c>
      <c r="G50" t="s">
        <v>200</v>
      </c>
      <c r="H50" t="str">
        <f>SqlGenerator(B50:G50)</f>
        <v>(22,'coriander',2,12,8,'can'),</v>
      </c>
      <c r="I50" t="str">
        <f>IF(C49=C50,"same","not")</f>
        <v>not</v>
      </c>
    </row>
    <row r="51" spans="2:9" x14ac:dyDescent="0.25">
      <c r="B51">
        <v>22</v>
      </c>
      <c r="C51" t="s">
        <v>234</v>
      </c>
      <c r="D51">
        <v>1</v>
      </c>
      <c r="E51">
        <v>12</v>
      </c>
      <c r="F51">
        <v>24</v>
      </c>
      <c r="G51" t="s">
        <v>202</v>
      </c>
      <c r="H51" t="str">
        <f>SqlGenerator(B51:G51)</f>
        <v>(22,'hamburger',1,12,24,'piece'),</v>
      </c>
      <c r="I51" t="str">
        <f>IF(C50=C51,"same","not")</f>
        <v>not</v>
      </c>
    </row>
    <row r="52" spans="2:9" x14ac:dyDescent="0.25">
      <c r="B52">
        <v>22</v>
      </c>
      <c r="C52" t="s">
        <v>244</v>
      </c>
      <c r="D52">
        <v>1</v>
      </c>
      <c r="E52">
        <v>12</v>
      </c>
      <c r="F52">
        <v>24</v>
      </c>
      <c r="G52" t="s">
        <v>202</v>
      </c>
      <c r="H52" t="str">
        <f>SqlGenerator(B52:G52)</f>
        <v>(22,'lobsters',1,12,24,'piece'),</v>
      </c>
      <c r="I52" t="str">
        <f>IF(C51=C52,"same","not")</f>
        <v>not</v>
      </c>
    </row>
    <row r="53" spans="2:9" x14ac:dyDescent="0.25">
      <c r="B53">
        <v>22</v>
      </c>
      <c r="C53" t="s">
        <v>230</v>
      </c>
      <c r="D53">
        <v>2</v>
      </c>
      <c r="E53">
        <v>12</v>
      </c>
      <c r="F53">
        <v>10</v>
      </c>
      <c r="G53" t="s">
        <v>201</v>
      </c>
      <c r="H53" t="str">
        <f>SqlGenerator(B53:G53)</f>
        <v>(22,'spearmint',2,12,10,'package'),</v>
      </c>
      <c r="I53" t="str">
        <f>IF(C52=C53,"same","not")</f>
        <v>not</v>
      </c>
    </row>
    <row r="54" spans="2:9" x14ac:dyDescent="0.25">
      <c r="B54">
        <v>23</v>
      </c>
      <c r="C54" t="s">
        <v>245</v>
      </c>
      <c r="D54">
        <v>1</v>
      </c>
      <c r="E54">
        <v>2</v>
      </c>
      <c r="F54">
        <v>23</v>
      </c>
      <c r="G54" t="s">
        <v>201</v>
      </c>
      <c r="H54" t="str">
        <f>SqlGenerator(B54:G54)</f>
        <v>(23,'ale',1,2,23,'package'),</v>
      </c>
      <c r="I54" t="str">
        <f>IF(C53=C54,"same","not")</f>
        <v>not</v>
      </c>
    </row>
    <row r="55" spans="2:9" x14ac:dyDescent="0.25">
      <c r="B55">
        <v>23</v>
      </c>
      <c r="C55" t="s">
        <v>236</v>
      </c>
      <c r="D55">
        <v>2</v>
      </c>
      <c r="E55">
        <v>2</v>
      </c>
      <c r="F55">
        <v>6</v>
      </c>
      <c r="G55" t="s">
        <v>200</v>
      </c>
      <c r="H55" t="str">
        <f>SqlGenerator(B55:G55)</f>
        <v>(23,'bean threads',2,2,6,'can'),</v>
      </c>
      <c r="I55" t="str">
        <f>IF(C54=C55,"same","not")</f>
        <v>not</v>
      </c>
    </row>
    <row r="56" spans="2:9" x14ac:dyDescent="0.25">
      <c r="B56">
        <v>23</v>
      </c>
      <c r="C56" t="s">
        <v>226</v>
      </c>
      <c r="D56">
        <v>2</v>
      </c>
      <c r="E56">
        <v>2</v>
      </c>
      <c r="F56">
        <v>8</v>
      </c>
      <c r="G56" t="s">
        <v>202</v>
      </c>
      <c r="H56" t="str">
        <f>SqlGenerator(B56:G56)</f>
        <v>(23,'mackerel',2,2,8,'piece'),</v>
      </c>
      <c r="I56" t="str">
        <f>IF(C55=C56,"same","not")</f>
        <v>not</v>
      </c>
    </row>
    <row r="57" spans="2:9" x14ac:dyDescent="0.25">
      <c r="B57">
        <v>23</v>
      </c>
      <c r="C57" t="s">
        <v>230</v>
      </c>
      <c r="D57">
        <v>1</v>
      </c>
      <c r="E57">
        <v>2</v>
      </c>
      <c r="F57">
        <v>10</v>
      </c>
      <c r="G57" t="s">
        <v>201</v>
      </c>
      <c r="H57" t="str">
        <f>SqlGenerator(B57:G57)</f>
        <v>(23,'spearmint',1,2,10,'package'),</v>
      </c>
      <c r="I57" t="str">
        <f>IF(C56=C57,"same","not")</f>
        <v>not</v>
      </c>
    </row>
    <row r="58" spans="2:9" x14ac:dyDescent="0.25">
      <c r="B58">
        <v>24</v>
      </c>
      <c r="C58" t="s">
        <v>223</v>
      </c>
      <c r="D58">
        <v>2</v>
      </c>
      <c r="E58">
        <v>10</v>
      </c>
      <c r="F58">
        <v>32</v>
      </c>
      <c r="G58" t="s">
        <v>202</v>
      </c>
      <c r="H58" t="str">
        <f>SqlGenerator(B58:G58)</f>
        <v>(24,'cabbage',2,10,32,'piece'),</v>
      </c>
      <c r="I58" t="str">
        <f>IF(C57=C58,"same","not")</f>
        <v>not</v>
      </c>
    </row>
    <row r="59" spans="2:9" x14ac:dyDescent="0.25">
      <c r="B59">
        <v>24</v>
      </c>
      <c r="C59" t="s">
        <v>209</v>
      </c>
      <c r="D59">
        <v>1</v>
      </c>
      <c r="E59">
        <v>10</v>
      </c>
      <c r="F59">
        <v>11</v>
      </c>
      <c r="G59" t="s">
        <v>200</v>
      </c>
      <c r="H59" t="str">
        <f>SqlGenerator(B59:G59)</f>
        <v>(24,'chard',1,10,11,'can'),</v>
      </c>
      <c r="I59" t="str">
        <f>IF(C58=C59,"same","not")</f>
        <v>not</v>
      </c>
    </row>
    <row r="60" spans="2:9" x14ac:dyDescent="0.25">
      <c r="B60">
        <v>25</v>
      </c>
      <c r="C60" t="s">
        <v>292</v>
      </c>
      <c r="D60">
        <v>1</v>
      </c>
      <c r="E60">
        <v>5</v>
      </c>
      <c r="F60">
        <v>11</v>
      </c>
      <c r="G60" t="s">
        <v>200</v>
      </c>
      <c r="H60" t="str">
        <f>SqlGenerator(B60:G60)</f>
        <v>(25,'bay leaves',1,5,11,'can'),</v>
      </c>
      <c r="I60" t="str">
        <f>IF(C59=C60,"same","not")</f>
        <v>not</v>
      </c>
    </row>
    <row r="61" spans="2:9" x14ac:dyDescent="0.25">
      <c r="B61">
        <v>25</v>
      </c>
      <c r="C61" t="s">
        <v>244</v>
      </c>
      <c r="D61">
        <v>1</v>
      </c>
      <c r="E61">
        <v>5</v>
      </c>
      <c r="F61">
        <v>24</v>
      </c>
      <c r="G61" t="s">
        <v>202</v>
      </c>
      <c r="H61" t="str">
        <f>SqlGenerator(B61:G61)</f>
        <v>(25,'lobsters',1,5,24,'piece'),</v>
      </c>
      <c r="I61" t="str">
        <f>IF(C60=C61,"same","not")</f>
        <v>not</v>
      </c>
    </row>
    <row r="62" spans="2:9" x14ac:dyDescent="0.25">
      <c r="B62">
        <v>25</v>
      </c>
      <c r="C62" t="s">
        <v>222</v>
      </c>
      <c r="D62">
        <v>1</v>
      </c>
      <c r="E62">
        <v>5</v>
      </c>
      <c r="F62">
        <v>6</v>
      </c>
      <c r="G62" t="s">
        <v>201</v>
      </c>
      <c r="H62" t="str">
        <f>SqlGenerator(B62:G62)</f>
        <v>(25,'spaghetti squash',1,5,6,'package'),</v>
      </c>
      <c r="I62" t="str">
        <f>IF(C61=C62,"same","not")</f>
        <v>not</v>
      </c>
    </row>
    <row r="63" spans="2:9" x14ac:dyDescent="0.25">
      <c r="B63">
        <v>26</v>
      </c>
      <c r="C63" t="s">
        <v>245</v>
      </c>
      <c r="D63">
        <v>2</v>
      </c>
      <c r="E63">
        <v>9</v>
      </c>
      <c r="F63">
        <v>23</v>
      </c>
      <c r="G63" t="s">
        <v>201</v>
      </c>
      <c r="H63" t="str">
        <f>SqlGenerator(B63:G63)</f>
        <v>(26,'ale',2,9,23,'package'),</v>
      </c>
      <c r="I63" t="str">
        <f>IF(C62=C63,"same","not")</f>
        <v>not</v>
      </c>
    </row>
    <row r="64" spans="2:9" x14ac:dyDescent="0.25">
      <c r="B64">
        <v>26</v>
      </c>
      <c r="C64" t="s">
        <v>234</v>
      </c>
      <c r="D64">
        <v>1</v>
      </c>
      <c r="E64">
        <v>9</v>
      </c>
      <c r="F64">
        <v>24</v>
      </c>
      <c r="G64" t="s">
        <v>202</v>
      </c>
      <c r="H64" t="str">
        <f>SqlGenerator(B64:G64)</f>
        <v>(26,'hamburger',1,9,24,'piece'),</v>
      </c>
      <c r="I64" t="str">
        <f>IF(C63=C64,"same","not")</f>
        <v>not</v>
      </c>
    </row>
    <row r="65" spans="2:9" x14ac:dyDescent="0.25">
      <c r="B65">
        <v>28</v>
      </c>
      <c r="C65" t="s">
        <v>217</v>
      </c>
      <c r="D65">
        <v>1</v>
      </c>
      <c r="E65">
        <v>10</v>
      </c>
      <c r="F65">
        <v>7</v>
      </c>
      <c r="G65" t="s">
        <v>203</v>
      </c>
      <c r="H65" t="str">
        <f>SqlGenerator(B65:G65)</f>
        <v>(28,'borscht',1,10,7,'bottle'),</v>
      </c>
      <c r="I65" t="e">
        <f>IF(#REF!=C65,"same","not")</f>
        <v>#REF!</v>
      </c>
    </row>
    <row r="66" spans="2:9" x14ac:dyDescent="0.25">
      <c r="B66">
        <v>28</v>
      </c>
      <c r="C66" t="s">
        <v>258</v>
      </c>
      <c r="D66">
        <v>2</v>
      </c>
      <c r="E66">
        <v>10</v>
      </c>
      <c r="F66">
        <v>9</v>
      </c>
      <c r="G66" t="s">
        <v>201</v>
      </c>
      <c r="H66" t="str">
        <f>SqlGenerator(B66:G66)</f>
        <v>(28,'colby cheese',2,10,9,'package'),</v>
      </c>
      <c r="I66" t="str">
        <f>IF(C65=C66,"same","not")</f>
        <v>not</v>
      </c>
    </row>
    <row r="67" spans="2:9" x14ac:dyDescent="0.25">
      <c r="B67">
        <v>28</v>
      </c>
      <c r="C67" t="s">
        <v>216</v>
      </c>
      <c r="D67">
        <v>1</v>
      </c>
      <c r="E67">
        <v>10</v>
      </c>
      <c r="F67">
        <v>14</v>
      </c>
      <c r="G67" t="s">
        <v>200</v>
      </c>
      <c r="H67" t="str">
        <f>SqlGenerator(B67:G67)</f>
        <v>(28,'gelatin',1,10,14,'can'),</v>
      </c>
      <c r="I67" t="str">
        <f>IF(C66=C67,"same","not")</f>
        <v>not</v>
      </c>
    </row>
    <row r="68" spans="2:9" x14ac:dyDescent="0.25">
      <c r="B68">
        <v>29</v>
      </c>
      <c r="C68" t="s">
        <v>233</v>
      </c>
      <c r="D68">
        <v>1</v>
      </c>
      <c r="E68">
        <v>9</v>
      </c>
      <c r="F68">
        <v>23</v>
      </c>
      <c r="G68" t="s">
        <v>201</v>
      </c>
      <c r="H68" t="str">
        <f>SqlGenerator(B68:G68)</f>
        <v>(29,'acorn squash',1,9,23,'package'),</v>
      </c>
      <c r="I68" t="str">
        <f>IF(C67=C68,"same","not")</f>
        <v>not</v>
      </c>
    </row>
    <row r="69" spans="2:9" x14ac:dyDescent="0.25">
      <c r="B69">
        <v>29</v>
      </c>
      <c r="C69" t="s">
        <v>235</v>
      </c>
      <c r="D69">
        <v>1</v>
      </c>
      <c r="E69">
        <v>9</v>
      </c>
      <c r="F69">
        <v>6</v>
      </c>
      <c r="G69" t="s">
        <v>202</v>
      </c>
      <c r="H69" t="str">
        <f>SqlGenerator(B69:G69)</f>
        <v>(29,'garlic',1,9,6,'piece'),</v>
      </c>
      <c r="I69" t="str">
        <f>IF(C68=C69,"same","not")</f>
        <v>not</v>
      </c>
    </row>
    <row r="70" spans="2:9" x14ac:dyDescent="0.25">
      <c r="B70">
        <v>29</v>
      </c>
      <c r="C70" t="s">
        <v>249</v>
      </c>
      <c r="D70">
        <v>1</v>
      </c>
      <c r="E70">
        <v>9</v>
      </c>
      <c r="F70">
        <v>8</v>
      </c>
      <c r="G70" t="s">
        <v>200</v>
      </c>
      <c r="H70" t="str">
        <f>SqlGenerator(B70:G70)</f>
        <v>(29,'hot sauce',1,9,8,'can'),</v>
      </c>
      <c r="I70" t="str">
        <f>IF(C69=C70,"same","not")</f>
        <v>not</v>
      </c>
    </row>
    <row r="71" spans="2:9" x14ac:dyDescent="0.25">
      <c r="B71">
        <v>30</v>
      </c>
      <c r="C71" t="s">
        <v>273</v>
      </c>
      <c r="D71">
        <v>1</v>
      </c>
      <c r="E71">
        <v>12</v>
      </c>
      <c r="F71">
        <v>15</v>
      </c>
      <c r="G71" t="s">
        <v>201</v>
      </c>
      <c r="H71" t="str">
        <f>SqlGenerator(B71:G71)</f>
        <v>(30,'buckwheat',1,12,15,'package'),</v>
      </c>
      <c r="I71" t="str">
        <f>IF(C70=C71,"same","not")</f>
        <v>not</v>
      </c>
    </row>
    <row r="72" spans="2:9" x14ac:dyDescent="0.25">
      <c r="B72">
        <v>30</v>
      </c>
      <c r="C72" t="s">
        <v>286</v>
      </c>
      <c r="D72">
        <v>1</v>
      </c>
      <c r="E72">
        <v>12</v>
      </c>
      <c r="F72">
        <v>11</v>
      </c>
      <c r="G72" t="s">
        <v>200</v>
      </c>
      <c r="H72" t="str">
        <f>SqlGenerator(B72:G72)</f>
        <v>(30,'chestnuts',1,12,11,'can'),</v>
      </c>
      <c r="I72" t="str">
        <f>IF(C71=C72,"same","not")</f>
        <v>not</v>
      </c>
    </row>
    <row r="73" spans="2:9" x14ac:dyDescent="0.25">
      <c r="B73">
        <v>30</v>
      </c>
      <c r="C73" t="s">
        <v>248</v>
      </c>
      <c r="D73">
        <v>1</v>
      </c>
      <c r="E73">
        <v>12</v>
      </c>
      <c r="F73">
        <v>8</v>
      </c>
      <c r="G73" t="s">
        <v>200</v>
      </c>
      <c r="H73" t="str">
        <f>SqlGenerator(B73:G73)</f>
        <v>(30,'coriander',1,12,8,'can'),</v>
      </c>
      <c r="I73" t="str">
        <f>IF(C72=C73,"same","not")</f>
        <v>not</v>
      </c>
    </row>
    <row r="74" spans="2:9" x14ac:dyDescent="0.25">
      <c r="B74">
        <v>30</v>
      </c>
      <c r="C74" t="s">
        <v>278</v>
      </c>
      <c r="D74">
        <v>2</v>
      </c>
      <c r="E74">
        <v>12</v>
      </c>
      <c r="F74">
        <v>7</v>
      </c>
      <c r="G74" t="s">
        <v>202</v>
      </c>
      <c r="H74" t="str">
        <f>SqlGenerator(B74:G74)</f>
        <v>(30,'grouper',2,12,7,'piece'),</v>
      </c>
      <c r="I74" t="str">
        <f>IF(C73=C74,"same","not")</f>
        <v>not</v>
      </c>
    </row>
    <row r="75" spans="2:9" x14ac:dyDescent="0.25">
      <c r="B75">
        <v>30</v>
      </c>
      <c r="C75" t="s">
        <v>247</v>
      </c>
      <c r="D75">
        <v>1</v>
      </c>
      <c r="E75">
        <v>12</v>
      </c>
      <c r="F75">
        <v>8</v>
      </c>
      <c r="G75" t="s">
        <v>200</v>
      </c>
      <c r="H75" t="str">
        <f>SqlGenerator(B75:G75)</f>
        <v>(30,'peaches',1,12,8,'can'),</v>
      </c>
      <c r="I75" t="str">
        <f>IF(C74=C75,"same","not")</f>
        <v>not</v>
      </c>
    </row>
    <row r="76" spans="2:9" x14ac:dyDescent="0.25">
      <c r="B76">
        <v>30</v>
      </c>
      <c r="C76" t="s">
        <v>229</v>
      </c>
      <c r="D76">
        <v>2</v>
      </c>
      <c r="E76">
        <v>12</v>
      </c>
      <c r="F76">
        <v>42</v>
      </c>
      <c r="G76" t="s">
        <v>200</v>
      </c>
      <c r="H76" t="str">
        <f>SqlGenerator(B76:G76)</f>
        <v>(30,'plantains',2,12,42,'can'),</v>
      </c>
      <c r="I76" t="str">
        <f>IF(C75=C76,"same","not")</f>
        <v>not</v>
      </c>
    </row>
    <row r="77" spans="2:9" x14ac:dyDescent="0.25">
      <c r="B77">
        <v>30</v>
      </c>
      <c r="C77" t="s">
        <v>250</v>
      </c>
      <c r="D77">
        <v>2</v>
      </c>
      <c r="E77">
        <v>12</v>
      </c>
      <c r="F77">
        <v>8</v>
      </c>
      <c r="G77" t="s">
        <v>201</v>
      </c>
      <c r="H77" t="str">
        <f>SqlGenerator(B77:G77)</f>
        <v>(30,'pumpkin seeds',2,12,8,'package'),</v>
      </c>
      <c r="I77" t="str">
        <f>IF(C76=C77,"same","not")</f>
        <v>not</v>
      </c>
    </row>
    <row r="78" spans="2:9" x14ac:dyDescent="0.25">
      <c r="B78">
        <v>31</v>
      </c>
      <c r="C78" t="s">
        <v>279</v>
      </c>
      <c r="D78">
        <v>2</v>
      </c>
      <c r="E78">
        <v>6</v>
      </c>
      <c r="F78">
        <v>11</v>
      </c>
      <c r="G78" t="s">
        <v>201</v>
      </c>
      <c r="H78" t="str">
        <f>SqlGenerator(B78:G78)</f>
        <v>(31,'jicama',2,6,11,'package'),</v>
      </c>
      <c r="I78" t="str">
        <f>IF(C77=C78,"same","not")</f>
        <v>not</v>
      </c>
    </row>
    <row r="79" spans="2:9" x14ac:dyDescent="0.25">
      <c r="B79">
        <v>31</v>
      </c>
      <c r="C79" t="s">
        <v>212</v>
      </c>
      <c r="D79">
        <v>2</v>
      </c>
      <c r="E79">
        <v>6</v>
      </c>
      <c r="F79">
        <v>22</v>
      </c>
      <c r="G79" t="s">
        <v>201</v>
      </c>
      <c r="H79" t="str">
        <f>SqlGenerator(B79:G79)</f>
        <v>(31,'mussels',2,6,22,'package'),</v>
      </c>
      <c r="I79" t="str">
        <f>IF(C78=C79,"same","not")</f>
        <v>not</v>
      </c>
    </row>
    <row r="80" spans="2:9" x14ac:dyDescent="0.25">
      <c r="B80">
        <v>31</v>
      </c>
      <c r="C80" t="s">
        <v>228</v>
      </c>
      <c r="D80">
        <v>2</v>
      </c>
      <c r="E80">
        <v>6</v>
      </c>
      <c r="F80">
        <v>9</v>
      </c>
      <c r="G80" t="s">
        <v>201</v>
      </c>
      <c r="H80" t="str">
        <f>SqlGenerator(B80:G80)</f>
        <v>(31,'red pepper flakes',2,6,9,'package'),</v>
      </c>
      <c r="I80" t="str">
        <f>IF(C79=C80,"same","not")</f>
        <v>not</v>
      </c>
    </row>
    <row r="81" spans="2:9" x14ac:dyDescent="0.25">
      <c r="B81">
        <v>31</v>
      </c>
      <c r="C81" t="s">
        <v>265</v>
      </c>
      <c r="D81">
        <v>2</v>
      </c>
      <c r="E81">
        <v>6</v>
      </c>
      <c r="F81">
        <v>27</v>
      </c>
      <c r="G81" t="s">
        <v>202</v>
      </c>
      <c r="H81" t="str">
        <f>SqlGenerator(B81:G81)</f>
        <v>(31,'steak',2,6,27,'piece'),</v>
      </c>
      <c r="I81" t="str">
        <f>IF(C80=C81,"same","not")</f>
        <v>not</v>
      </c>
    </row>
    <row r="82" spans="2:9" x14ac:dyDescent="0.25">
      <c r="B82">
        <v>32</v>
      </c>
      <c r="C82" t="s">
        <v>267</v>
      </c>
      <c r="D82">
        <v>2</v>
      </c>
      <c r="E82">
        <v>14</v>
      </c>
      <c r="F82">
        <v>18</v>
      </c>
      <c r="G82" t="s">
        <v>201</v>
      </c>
      <c r="H82" t="str">
        <f>SqlGenerator(B82:G82)</f>
        <v>(32,'cottage cheese',2,14,18,'package'),</v>
      </c>
      <c r="I82" t="str">
        <f>IF(C81=C82,"same","not")</f>
        <v>not</v>
      </c>
    </row>
    <row r="83" spans="2:9" x14ac:dyDescent="0.25">
      <c r="B83">
        <v>32</v>
      </c>
      <c r="C83" t="s">
        <v>225</v>
      </c>
      <c r="D83">
        <v>1</v>
      </c>
      <c r="E83">
        <v>14</v>
      </c>
      <c r="F83">
        <v>8</v>
      </c>
      <c r="G83" t="s">
        <v>200</v>
      </c>
      <c r="H83" t="str">
        <f>SqlGenerator(B83:G83)</f>
        <v>(32,'eggplants',1,14,8,'can'),</v>
      </c>
      <c r="I83" t="str">
        <f>IF(C82=C83,"same","not")</f>
        <v>not</v>
      </c>
    </row>
    <row r="84" spans="2:9" x14ac:dyDescent="0.25">
      <c r="B84">
        <v>33</v>
      </c>
      <c r="C84" t="s">
        <v>254</v>
      </c>
      <c r="D84">
        <v>2</v>
      </c>
      <c r="E84">
        <v>14</v>
      </c>
      <c r="F84">
        <v>8</v>
      </c>
      <c r="G84" t="s">
        <v>201</v>
      </c>
      <c r="H84" t="str">
        <f>SqlGenerator(B84:G84)</f>
        <v>(33,'provolone',2,14,8,'package'),</v>
      </c>
      <c r="I84" t="str">
        <f>IF(C83=C84,"same","not")</f>
        <v>not</v>
      </c>
    </row>
    <row r="85" spans="2:9" x14ac:dyDescent="0.25">
      <c r="B85">
        <v>33</v>
      </c>
      <c r="C85" t="s">
        <v>230</v>
      </c>
      <c r="D85">
        <v>2</v>
      </c>
      <c r="E85">
        <v>14</v>
      </c>
      <c r="F85">
        <v>10</v>
      </c>
      <c r="G85" t="s">
        <v>201</v>
      </c>
      <c r="H85" t="str">
        <f>SqlGenerator(B85:G85)</f>
        <v>(33,'spearmint',2,14,10,'package'),</v>
      </c>
      <c r="I85" t="str">
        <f>IF(C84=C85,"same","not")</f>
        <v>not</v>
      </c>
    </row>
    <row r="86" spans="2:9" x14ac:dyDescent="0.25">
      <c r="B86">
        <v>34</v>
      </c>
      <c r="C86" t="s">
        <v>269</v>
      </c>
      <c r="D86">
        <v>2</v>
      </c>
      <c r="E86">
        <v>12</v>
      </c>
      <c r="F86">
        <v>12</v>
      </c>
      <c r="G86" t="s">
        <v>200</v>
      </c>
      <c r="H86" t="str">
        <f>SqlGenerator(B86:G86)</f>
        <v>(34,'cayenne pepper',2,12,12,'can'),</v>
      </c>
      <c r="I86" t="str">
        <f>IF(C85=C86,"same","not")</f>
        <v>not</v>
      </c>
    </row>
    <row r="87" spans="2:9" x14ac:dyDescent="0.25">
      <c r="B87">
        <v>34</v>
      </c>
      <c r="C87" t="s">
        <v>262</v>
      </c>
      <c r="D87">
        <v>2</v>
      </c>
      <c r="E87">
        <v>12</v>
      </c>
      <c r="F87">
        <v>18</v>
      </c>
      <c r="G87" t="s">
        <v>201</v>
      </c>
      <c r="H87" t="str">
        <f>SqlGenerator(B87:G87)</f>
        <v>(34,'feta cheese',2,12,18,'package'),</v>
      </c>
      <c r="I87" t="str">
        <f>IF(C86=C87,"same","not")</f>
        <v>not</v>
      </c>
    </row>
    <row r="88" spans="2:9" x14ac:dyDescent="0.25">
      <c r="B88">
        <v>34</v>
      </c>
      <c r="C88" t="s">
        <v>235</v>
      </c>
      <c r="D88">
        <v>1</v>
      </c>
      <c r="E88">
        <v>12</v>
      </c>
      <c r="F88">
        <v>6</v>
      </c>
      <c r="G88" t="s">
        <v>202</v>
      </c>
      <c r="H88" t="str">
        <f>SqlGenerator(B88:G88)</f>
        <v>(34,'garlic',1,12,6,'piece'),</v>
      </c>
      <c r="I88" t="str">
        <f>IF(C87=C88,"same","not")</f>
        <v>not</v>
      </c>
    </row>
    <row r="89" spans="2:9" x14ac:dyDescent="0.25">
      <c r="B89">
        <v>34</v>
      </c>
      <c r="C89" t="s">
        <v>221</v>
      </c>
      <c r="D89">
        <v>2</v>
      </c>
      <c r="E89">
        <v>12</v>
      </c>
      <c r="F89">
        <v>36</v>
      </c>
      <c r="G89" t="s">
        <v>200</v>
      </c>
      <c r="H89" t="str">
        <f>SqlGenerator(B89:G89)</f>
        <v>(34,'sauerkraut',2,12,36,'can'),</v>
      </c>
      <c r="I89" t="str">
        <f>IF(C88=C89,"same","not")</f>
        <v>not</v>
      </c>
    </row>
    <row r="90" spans="2:9" x14ac:dyDescent="0.25">
      <c r="B90">
        <v>35</v>
      </c>
      <c r="C90" t="s">
        <v>256</v>
      </c>
      <c r="D90">
        <v>1</v>
      </c>
      <c r="E90">
        <v>7</v>
      </c>
      <c r="F90">
        <v>12</v>
      </c>
      <c r="G90" t="s">
        <v>203</v>
      </c>
      <c r="H90" t="str">
        <f>SqlGenerator(B90:G90)</f>
        <v>(35,'brandy',1,7,12,'bottle'),</v>
      </c>
      <c r="I90" t="str">
        <f>IF(C89=C90,"same","not")</f>
        <v>not</v>
      </c>
    </row>
    <row r="91" spans="2:9" x14ac:dyDescent="0.25">
      <c r="B91">
        <v>35</v>
      </c>
      <c r="C91" t="s">
        <v>250</v>
      </c>
      <c r="D91">
        <v>2</v>
      </c>
      <c r="E91">
        <v>7</v>
      </c>
      <c r="F91">
        <v>8</v>
      </c>
      <c r="G91" t="s">
        <v>201</v>
      </c>
      <c r="H91" t="str">
        <f>SqlGenerator(B91:G91)</f>
        <v>(35,'pumpkin seeds',2,7,8,'package'),</v>
      </c>
      <c r="I91" t="str">
        <f>IF(C90=C91,"same","not")</f>
        <v>not</v>
      </c>
    </row>
    <row r="92" spans="2:9" x14ac:dyDescent="0.25">
      <c r="B92">
        <v>36</v>
      </c>
      <c r="C92" t="s">
        <v>219</v>
      </c>
      <c r="D92">
        <v>1</v>
      </c>
      <c r="E92">
        <v>15</v>
      </c>
      <c r="F92">
        <v>6</v>
      </c>
      <c r="G92" t="s">
        <v>200</v>
      </c>
      <c r="H92" t="str">
        <f>SqlGenerator(B92:G92)</f>
        <v>(36,'canola oil',1,15,6,'can'),</v>
      </c>
      <c r="I92" t="str">
        <f>IF(C91=C92,"same","not")</f>
        <v>not</v>
      </c>
    </row>
    <row r="93" spans="2:9" x14ac:dyDescent="0.25">
      <c r="B93">
        <v>36</v>
      </c>
      <c r="C93" t="s">
        <v>278</v>
      </c>
      <c r="D93">
        <v>1</v>
      </c>
      <c r="E93">
        <v>15</v>
      </c>
      <c r="F93">
        <v>7</v>
      </c>
      <c r="G93" t="s">
        <v>202</v>
      </c>
      <c r="H93" t="str">
        <f>SqlGenerator(B93:G93)</f>
        <v>(36,'grouper',1,15,7,'piece'),</v>
      </c>
      <c r="I93" t="str">
        <f>IF(C92=C93,"same","not")</f>
        <v>not</v>
      </c>
    </row>
    <row r="94" spans="2:9" x14ac:dyDescent="0.25">
      <c r="B94">
        <v>37</v>
      </c>
      <c r="C94" t="s">
        <v>293</v>
      </c>
      <c r="D94">
        <v>1</v>
      </c>
      <c r="E94">
        <v>13</v>
      </c>
      <c r="F94">
        <v>37</v>
      </c>
      <c r="G94" t="s">
        <v>200</v>
      </c>
      <c r="H94" t="str">
        <f>SqlGenerator(B94:G94)</f>
        <v>(37,'bean sprouts',1,13,37,'can'),</v>
      </c>
      <c r="I94" t="str">
        <f>IF(C93=C94,"same","not")</f>
        <v>not</v>
      </c>
    </row>
    <row r="95" spans="2:9" x14ac:dyDescent="0.25">
      <c r="B95">
        <v>37</v>
      </c>
      <c r="C95" t="s">
        <v>253</v>
      </c>
      <c r="D95">
        <v>2</v>
      </c>
      <c r="E95">
        <v>13</v>
      </c>
      <c r="F95">
        <v>26</v>
      </c>
      <c r="G95" t="s">
        <v>200</v>
      </c>
      <c r="H95" t="str">
        <f>SqlGenerator(B95:G95)</f>
        <v>(37,'corned beef',2,13,26,'can'),</v>
      </c>
      <c r="I95" t="str">
        <f>IF(C94=C95,"same","not")</f>
        <v>not</v>
      </c>
    </row>
    <row r="96" spans="2:9" x14ac:dyDescent="0.25">
      <c r="B96">
        <v>37</v>
      </c>
      <c r="C96" t="s">
        <v>244</v>
      </c>
      <c r="D96">
        <v>2</v>
      </c>
      <c r="E96">
        <v>13</v>
      </c>
      <c r="F96">
        <v>24</v>
      </c>
      <c r="G96" t="s">
        <v>202</v>
      </c>
      <c r="H96" t="str">
        <f>SqlGenerator(B96:G96)</f>
        <v>(37,'lobsters',2,13,24,'piece'),</v>
      </c>
      <c r="I96" t="str">
        <f>IF(C95=C96,"same","not")</f>
        <v>not</v>
      </c>
    </row>
    <row r="97" spans="2:9" x14ac:dyDescent="0.25">
      <c r="B97">
        <v>37</v>
      </c>
      <c r="C97" t="s">
        <v>287</v>
      </c>
      <c r="D97">
        <v>2</v>
      </c>
      <c r="E97">
        <v>13</v>
      </c>
      <c r="F97">
        <v>10</v>
      </c>
      <c r="G97" t="s">
        <v>200</v>
      </c>
      <c r="H97" t="str">
        <f>SqlGenerator(B97:G97)</f>
        <v>(37,'nectarines',2,13,10,'can'),</v>
      </c>
      <c r="I97" t="str">
        <f>IF(C96=C97,"same","not")</f>
        <v>not</v>
      </c>
    </row>
    <row r="98" spans="2:9" x14ac:dyDescent="0.25">
      <c r="B98">
        <v>38</v>
      </c>
      <c r="C98" t="s">
        <v>245</v>
      </c>
      <c r="D98">
        <v>2</v>
      </c>
      <c r="E98">
        <v>3</v>
      </c>
      <c r="F98">
        <v>23</v>
      </c>
      <c r="G98" t="s">
        <v>201</v>
      </c>
      <c r="H98" t="str">
        <f>SqlGenerator(B98:G98)</f>
        <v>(38,'ale',2,3,23,'package'),</v>
      </c>
      <c r="I98" t="str">
        <f>IF(C97=C98,"same","not")</f>
        <v>not</v>
      </c>
    </row>
    <row r="99" spans="2:9" x14ac:dyDescent="0.25">
      <c r="B99">
        <v>38</v>
      </c>
      <c r="C99" t="s">
        <v>213</v>
      </c>
      <c r="D99">
        <v>1</v>
      </c>
      <c r="E99">
        <v>3</v>
      </c>
      <c r="F99">
        <v>14</v>
      </c>
      <c r="G99" t="s">
        <v>202</v>
      </c>
      <c r="H99" t="str">
        <f>SqlGenerator(B99:G99)</f>
        <v>(38,'cantaloupes',1,3,14,'piece'),</v>
      </c>
      <c r="I99" t="str">
        <f>IF(C98=C99,"same","not")</f>
        <v>not</v>
      </c>
    </row>
    <row r="100" spans="2:9" x14ac:dyDescent="0.25">
      <c r="B100">
        <v>39</v>
      </c>
      <c r="C100" t="s">
        <v>290</v>
      </c>
      <c r="D100">
        <v>1</v>
      </c>
      <c r="E100">
        <v>13</v>
      </c>
      <c r="F100">
        <v>11</v>
      </c>
      <c r="G100" t="s">
        <v>201</v>
      </c>
      <c r="H100" t="str">
        <f>SqlGenerator(B100:G100)</f>
        <v>(39,'broccoli',1,13,11,'package'),</v>
      </c>
      <c r="I100" t="str">
        <f>IF(C99=C100,"same","not")</f>
        <v>not</v>
      </c>
    </row>
    <row r="101" spans="2:9" x14ac:dyDescent="0.25">
      <c r="B101">
        <v>39</v>
      </c>
      <c r="C101" t="s">
        <v>262</v>
      </c>
      <c r="D101">
        <v>1</v>
      </c>
      <c r="E101">
        <v>13</v>
      </c>
      <c r="F101">
        <v>18</v>
      </c>
      <c r="G101" t="s">
        <v>201</v>
      </c>
      <c r="H101" t="str">
        <f>SqlGenerator(B101:G101)</f>
        <v>(39,'feta cheese',1,13,18,'package'),</v>
      </c>
      <c r="I101" t="str">
        <f>IF(C100=C101,"same","not")</f>
        <v>not</v>
      </c>
    </row>
    <row r="102" spans="2:9" x14ac:dyDescent="0.25">
      <c r="B102">
        <v>39</v>
      </c>
      <c r="C102" t="s">
        <v>247</v>
      </c>
      <c r="D102">
        <v>2</v>
      </c>
      <c r="E102">
        <v>13</v>
      </c>
      <c r="F102">
        <v>8</v>
      </c>
      <c r="G102" t="s">
        <v>200</v>
      </c>
      <c r="H102" t="str">
        <f>SqlGenerator(B102:G102)</f>
        <v>(39,'peaches',2,13,8,'can'),</v>
      </c>
      <c r="I102" t="str">
        <f>IF(C101=C102,"same","not")</f>
        <v>not</v>
      </c>
    </row>
    <row r="103" spans="2:9" x14ac:dyDescent="0.25">
      <c r="B103">
        <v>40</v>
      </c>
      <c r="C103" t="s">
        <v>217</v>
      </c>
      <c r="D103">
        <v>1</v>
      </c>
      <c r="E103">
        <v>9</v>
      </c>
      <c r="F103">
        <v>7</v>
      </c>
      <c r="G103" t="s">
        <v>203</v>
      </c>
      <c r="H103" t="str">
        <f>SqlGenerator(B103:G103)</f>
        <v>(40,'borscht',1,9,7,'bottle'),</v>
      </c>
      <c r="I103" t="str">
        <f>IF(C102=C103,"same","not")</f>
        <v>not</v>
      </c>
    </row>
    <row r="104" spans="2:9" x14ac:dyDescent="0.25">
      <c r="B104">
        <v>40</v>
      </c>
      <c r="C104" t="s">
        <v>272</v>
      </c>
      <c r="D104">
        <v>2</v>
      </c>
      <c r="E104">
        <v>9</v>
      </c>
      <c r="F104">
        <v>10</v>
      </c>
      <c r="G104" t="s">
        <v>200</v>
      </c>
      <c r="H104" t="str">
        <f>SqlGenerator(B104:G104)</f>
        <v>(40,'pea beans',2,9,10,'can'),</v>
      </c>
      <c r="I104" t="str">
        <f>IF(C103=C104,"same","not")</f>
        <v>not</v>
      </c>
    </row>
    <row r="105" spans="2:9" x14ac:dyDescent="0.25">
      <c r="B105">
        <v>41</v>
      </c>
      <c r="C105" t="s">
        <v>246</v>
      </c>
      <c r="D105">
        <v>2</v>
      </c>
      <c r="E105">
        <v>6</v>
      </c>
      <c r="F105">
        <v>12</v>
      </c>
      <c r="G105" t="s">
        <v>203</v>
      </c>
      <c r="H105" t="str">
        <f>SqlGenerator(B105:G105)</f>
        <v>(41,'rose water',2,6,12,'bottle'),</v>
      </c>
      <c r="I105" t="str">
        <f>IF(C104=C105,"same","not")</f>
        <v>not</v>
      </c>
    </row>
    <row r="106" spans="2:9" x14ac:dyDescent="0.25">
      <c r="B106">
        <v>42</v>
      </c>
      <c r="C106" t="s">
        <v>245</v>
      </c>
      <c r="D106">
        <v>1</v>
      </c>
      <c r="E106">
        <v>13</v>
      </c>
      <c r="F106">
        <v>23</v>
      </c>
      <c r="G106" t="s">
        <v>201</v>
      </c>
      <c r="H106" t="str">
        <f>SqlGenerator(B106:G106)</f>
        <v>(42,'ale',1,13,23,'package'),</v>
      </c>
      <c r="I106" t="str">
        <f>IF(C105=C106,"same","not")</f>
        <v>not</v>
      </c>
    </row>
    <row r="107" spans="2:9" x14ac:dyDescent="0.25">
      <c r="B107">
        <v>42</v>
      </c>
      <c r="C107" t="s">
        <v>217</v>
      </c>
      <c r="D107">
        <v>1</v>
      </c>
      <c r="E107">
        <v>13</v>
      </c>
      <c r="F107">
        <v>7</v>
      </c>
      <c r="G107" t="s">
        <v>203</v>
      </c>
      <c r="H107" t="str">
        <f>SqlGenerator(B107:G107)</f>
        <v>(42,'borscht',1,13,7,'bottle'),</v>
      </c>
      <c r="I107" t="str">
        <f>IF(C106=C107,"same","not")</f>
        <v>not</v>
      </c>
    </row>
    <row r="108" spans="2:9" x14ac:dyDescent="0.25">
      <c r="B108">
        <v>42</v>
      </c>
      <c r="C108" t="s">
        <v>265</v>
      </c>
      <c r="D108">
        <v>2</v>
      </c>
      <c r="E108">
        <v>13</v>
      </c>
      <c r="F108">
        <v>27</v>
      </c>
      <c r="G108" t="s">
        <v>202</v>
      </c>
      <c r="H108" t="str">
        <f>SqlGenerator(B108:G108)</f>
        <v>(42,'steak',2,13,27,'piece'),</v>
      </c>
      <c r="I108" t="str">
        <f>IF(C107=C108,"same","not")</f>
        <v>not</v>
      </c>
    </row>
    <row r="109" spans="2:9" x14ac:dyDescent="0.25">
      <c r="B109">
        <v>43</v>
      </c>
      <c r="C109" t="s">
        <v>245</v>
      </c>
      <c r="D109">
        <v>2</v>
      </c>
      <c r="E109">
        <v>15</v>
      </c>
      <c r="F109">
        <v>23</v>
      </c>
      <c r="G109" t="s">
        <v>201</v>
      </c>
      <c r="H109" t="str">
        <f>SqlGenerator(B109:G109)</f>
        <v>(43,'ale',2,15,23,'package'),</v>
      </c>
      <c r="I109" t="str">
        <f>IF(C108=C109,"same","not")</f>
        <v>not</v>
      </c>
    </row>
    <row r="110" spans="2:9" x14ac:dyDescent="0.25">
      <c r="B110">
        <v>43</v>
      </c>
      <c r="C110" t="s">
        <v>282</v>
      </c>
      <c r="D110">
        <v>1</v>
      </c>
      <c r="E110">
        <v>15</v>
      </c>
      <c r="F110">
        <v>12</v>
      </c>
      <c r="G110" t="s">
        <v>201</v>
      </c>
      <c r="H110" t="str">
        <f>SqlGenerator(B110:G110)</f>
        <v>(43,'amaretto',1,15,12,'package'),</v>
      </c>
      <c r="I110" t="str">
        <f>IF(C109=C110,"same","not")</f>
        <v>not</v>
      </c>
    </row>
    <row r="111" spans="2:9" x14ac:dyDescent="0.25">
      <c r="B111">
        <v>43</v>
      </c>
      <c r="C111" t="s">
        <v>271</v>
      </c>
      <c r="D111">
        <v>2</v>
      </c>
      <c r="E111">
        <v>15</v>
      </c>
      <c r="F111">
        <v>18</v>
      </c>
      <c r="G111" t="s">
        <v>201</v>
      </c>
      <c r="H111" t="str">
        <f>SqlGenerator(B111:G111)</f>
        <v>(43,'cream cheese',2,15,18,'package'),</v>
      </c>
      <c r="I111" t="str">
        <f>IF(C110=C111,"same","not")</f>
        <v>not</v>
      </c>
    </row>
    <row r="112" spans="2:9" x14ac:dyDescent="0.25">
      <c r="B112">
        <v>43</v>
      </c>
      <c r="C112" t="s">
        <v>235</v>
      </c>
      <c r="D112">
        <v>2</v>
      </c>
      <c r="E112">
        <v>15</v>
      </c>
      <c r="F112">
        <v>6</v>
      </c>
      <c r="G112" t="s">
        <v>202</v>
      </c>
      <c r="H112" t="str">
        <f>SqlGenerator(B112:G112)</f>
        <v>(43,'garlic',2,15,6,'piece'),</v>
      </c>
      <c r="I112" t="str">
        <f>IF(C111=C112,"same","not")</f>
        <v>not</v>
      </c>
    </row>
    <row r="113" spans="2:9" x14ac:dyDescent="0.25">
      <c r="B113">
        <v>44</v>
      </c>
      <c r="C113" t="s">
        <v>217</v>
      </c>
      <c r="D113">
        <v>2</v>
      </c>
      <c r="E113">
        <v>2</v>
      </c>
      <c r="F113">
        <v>7</v>
      </c>
      <c r="G113" t="s">
        <v>203</v>
      </c>
      <c r="H113" t="str">
        <f>SqlGenerator(B113:G113)</f>
        <v>(44,'borscht',2,2,7,'bottle'),</v>
      </c>
      <c r="I113" t="str">
        <f>IF(C112=C113,"same","not")</f>
        <v>not</v>
      </c>
    </row>
    <row r="114" spans="2:9" x14ac:dyDescent="0.25">
      <c r="B114">
        <v>44</v>
      </c>
      <c r="C114" t="s">
        <v>223</v>
      </c>
      <c r="D114">
        <v>1</v>
      </c>
      <c r="E114">
        <v>2</v>
      </c>
      <c r="F114">
        <v>32</v>
      </c>
      <c r="G114" t="s">
        <v>202</v>
      </c>
      <c r="H114" t="str">
        <f>SqlGenerator(B114:G114)</f>
        <v>(44,'cabbage',1,2,32,'piece'),</v>
      </c>
      <c r="I114" t="str">
        <f>IF(C113=C114,"same","not")</f>
        <v>not</v>
      </c>
    </row>
    <row r="115" spans="2:9" x14ac:dyDescent="0.25">
      <c r="B115">
        <v>44</v>
      </c>
      <c r="C115" t="s">
        <v>267</v>
      </c>
      <c r="D115">
        <v>2</v>
      </c>
      <c r="E115">
        <v>2</v>
      </c>
      <c r="F115">
        <v>18</v>
      </c>
      <c r="G115" t="s">
        <v>201</v>
      </c>
      <c r="H115" t="str">
        <f>SqlGenerator(B115:G115)</f>
        <v>(44,'cottage cheese',2,2,18,'package'),</v>
      </c>
      <c r="I115" t="str">
        <f>IF(C114=C115,"same","not")</f>
        <v>not</v>
      </c>
    </row>
    <row r="116" spans="2:9" x14ac:dyDescent="0.25">
      <c r="B116">
        <v>44</v>
      </c>
      <c r="C116" t="s">
        <v>249</v>
      </c>
      <c r="D116">
        <v>1</v>
      </c>
      <c r="E116">
        <v>2</v>
      </c>
      <c r="F116">
        <v>8</v>
      </c>
      <c r="G116" t="s">
        <v>200</v>
      </c>
      <c r="H116" t="str">
        <f>SqlGenerator(B116:G116)</f>
        <v>(44,'hot sauce',1,2,8,'can'),</v>
      </c>
      <c r="I116" t="str">
        <f>IF(C115=C116,"same","not")</f>
        <v>not</v>
      </c>
    </row>
    <row r="117" spans="2:9" x14ac:dyDescent="0.25">
      <c r="B117">
        <v>44</v>
      </c>
      <c r="C117" t="s">
        <v>215</v>
      </c>
      <c r="D117">
        <v>1</v>
      </c>
      <c r="E117">
        <v>2</v>
      </c>
      <c r="F117">
        <v>14</v>
      </c>
      <c r="G117" t="s">
        <v>202</v>
      </c>
      <c r="H117" t="str">
        <f>SqlGenerator(B117:G117)</f>
        <v>(44,'liver',1,2,14,'piece'),</v>
      </c>
      <c r="I117" t="str">
        <f>IF(C116=C117,"same","not")</f>
        <v>not</v>
      </c>
    </row>
    <row r="118" spans="2:9" x14ac:dyDescent="0.25">
      <c r="B118">
        <v>44</v>
      </c>
      <c r="C118" t="s">
        <v>254</v>
      </c>
      <c r="D118">
        <v>1</v>
      </c>
      <c r="E118">
        <v>2</v>
      </c>
      <c r="F118">
        <v>8</v>
      </c>
      <c r="G118" t="s">
        <v>201</v>
      </c>
      <c r="H118" t="str">
        <f>SqlGenerator(B118:G118)</f>
        <v>(44,'provolone',1,2,8,'package'),</v>
      </c>
      <c r="I118" t="str">
        <f>IF(C117=C118,"same","not")</f>
        <v>not</v>
      </c>
    </row>
    <row r="119" spans="2:9" x14ac:dyDescent="0.25">
      <c r="B119">
        <v>45</v>
      </c>
      <c r="C119" t="s">
        <v>245</v>
      </c>
      <c r="D119">
        <v>2</v>
      </c>
      <c r="E119">
        <v>13</v>
      </c>
      <c r="F119">
        <v>23</v>
      </c>
      <c r="G119" t="s">
        <v>201</v>
      </c>
      <c r="H119" t="str">
        <f>SqlGenerator(B119:G119)</f>
        <v>(45,'ale',2,13,23,'package'),</v>
      </c>
      <c r="I119" t="str">
        <f>IF(C118=C119,"same","not")</f>
        <v>not</v>
      </c>
    </row>
    <row r="120" spans="2:9" x14ac:dyDescent="0.25">
      <c r="B120">
        <v>45</v>
      </c>
      <c r="C120" t="s">
        <v>260</v>
      </c>
      <c r="D120">
        <v>1</v>
      </c>
      <c r="E120">
        <v>13</v>
      </c>
      <c r="F120">
        <v>23</v>
      </c>
      <c r="G120" t="s">
        <v>202</v>
      </c>
      <c r="H120" t="str">
        <f>SqlGenerator(B120:G120)</f>
        <v>(45,'Canadian bacon',1,13,23,'piece'),</v>
      </c>
      <c r="I120" t="str">
        <f>IF(C119=C120,"same","not")</f>
        <v>not</v>
      </c>
    </row>
    <row r="121" spans="2:9" x14ac:dyDescent="0.25">
      <c r="B121">
        <v>45</v>
      </c>
      <c r="C121" t="s">
        <v>278</v>
      </c>
      <c r="D121">
        <v>1</v>
      </c>
      <c r="E121">
        <v>13</v>
      </c>
      <c r="F121">
        <v>7</v>
      </c>
      <c r="G121" t="s">
        <v>202</v>
      </c>
      <c r="H121" t="str">
        <f>SqlGenerator(B121:G121)</f>
        <v>(45,'grouper',1,13,7,'piece'),</v>
      </c>
      <c r="I121" t="str">
        <f>IF(C120=C121,"same","not")</f>
        <v>not</v>
      </c>
    </row>
    <row r="122" spans="2:9" x14ac:dyDescent="0.25">
      <c r="B122">
        <v>46</v>
      </c>
      <c r="C122" t="s">
        <v>217</v>
      </c>
      <c r="D122">
        <v>1</v>
      </c>
      <c r="E122">
        <v>2</v>
      </c>
      <c r="F122">
        <v>7</v>
      </c>
      <c r="G122" t="s">
        <v>203</v>
      </c>
      <c r="H122" t="str">
        <f>SqlGenerator(B122:G122)</f>
        <v>(46,'borscht',1,2,7,'bottle'),</v>
      </c>
      <c r="I122" t="str">
        <f>IF(C121=C122,"same","not")</f>
        <v>not</v>
      </c>
    </row>
    <row r="123" spans="2:9" x14ac:dyDescent="0.25">
      <c r="B123">
        <v>46</v>
      </c>
      <c r="C123" t="s">
        <v>289</v>
      </c>
      <c r="D123">
        <v>2</v>
      </c>
      <c r="E123">
        <v>2</v>
      </c>
      <c r="F123">
        <v>41</v>
      </c>
      <c r="G123" t="s">
        <v>200</v>
      </c>
      <c r="H123" t="str">
        <f>SqlGenerator(B123:G123)</f>
        <v>(46,'brussels sprouts',2,2,41,'can'),</v>
      </c>
      <c r="I123" t="str">
        <f>IF(C122=C123,"same","not")</f>
        <v>not</v>
      </c>
    </row>
    <row r="124" spans="2:9" x14ac:dyDescent="0.25">
      <c r="B124">
        <v>46</v>
      </c>
      <c r="C124" t="s">
        <v>218</v>
      </c>
      <c r="D124">
        <v>1</v>
      </c>
      <c r="E124">
        <v>2</v>
      </c>
      <c r="F124">
        <v>21</v>
      </c>
      <c r="G124" t="s">
        <v>200</v>
      </c>
      <c r="H124" t="str">
        <f>SqlGenerator(B124:G124)</f>
        <v>(46,'corn',1,2,21,'can'),</v>
      </c>
      <c r="I124" t="str">
        <f>IF(C123=C124,"same","not")</f>
        <v>not</v>
      </c>
    </row>
    <row r="125" spans="2:9" x14ac:dyDescent="0.25">
      <c r="B125">
        <v>46</v>
      </c>
      <c r="C125" t="s">
        <v>255</v>
      </c>
      <c r="D125">
        <v>2</v>
      </c>
      <c r="E125">
        <v>2</v>
      </c>
      <c r="F125">
        <v>10</v>
      </c>
      <c r="G125" t="s">
        <v>200</v>
      </c>
      <c r="H125" t="str">
        <f>SqlGenerator(B125:G125)</f>
        <v>(46,'pinto beans',2,2,10,'can'),</v>
      </c>
      <c r="I125" t="str">
        <f>IF(C124=C125,"same","not")</f>
        <v>not</v>
      </c>
    </row>
    <row r="126" spans="2:9" x14ac:dyDescent="0.25">
      <c r="B126">
        <v>46</v>
      </c>
      <c r="C126" t="s">
        <v>250</v>
      </c>
      <c r="D126">
        <v>1</v>
      </c>
      <c r="E126">
        <v>2</v>
      </c>
      <c r="F126">
        <v>8</v>
      </c>
      <c r="G126" t="s">
        <v>201</v>
      </c>
      <c r="H126" t="str">
        <f>SqlGenerator(B126:G126)</f>
        <v>(46,'pumpkin seeds',1,2,8,'package'),</v>
      </c>
      <c r="I126" t="str">
        <f>IF(C125=C126,"same","not")</f>
        <v>not</v>
      </c>
    </row>
    <row r="127" spans="2:9" x14ac:dyDescent="0.25">
      <c r="B127">
        <v>46</v>
      </c>
      <c r="C127" t="s">
        <v>228</v>
      </c>
      <c r="D127">
        <v>2</v>
      </c>
      <c r="E127">
        <v>2</v>
      </c>
      <c r="F127">
        <v>9</v>
      </c>
      <c r="G127" t="s">
        <v>201</v>
      </c>
      <c r="H127" t="str">
        <f>SqlGenerator(B127:G127)</f>
        <v>(46,'red pepper flakes',2,2,9,'package'),</v>
      </c>
      <c r="I127" t="str">
        <f>IF(C126=C127,"same","not")</f>
        <v>not</v>
      </c>
    </row>
    <row r="128" spans="2:9" x14ac:dyDescent="0.25">
      <c r="B128">
        <v>46</v>
      </c>
      <c r="C128" t="s">
        <v>294</v>
      </c>
      <c r="D128">
        <v>1</v>
      </c>
      <c r="E128">
        <v>2</v>
      </c>
      <c r="F128">
        <v>11</v>
      </c>
      <c r="G128" t="s">
        <v>201</v>
      </c>
      <c r="H128" t="str">
        <f>SqlGenerator(B128:G128)</f>
        <v>(46,'sesame seeds',1,2,11,'package'),</v>
      </c>
      <c r="I128" t="str">
        <f>IF(C127=C128,"same","not")</f>
        <v>not</v>
      </c>
    </row>
    <row r="129" spans="2:9" x14ac:dyDescent="0.25">
      <c r="B129">
        <v>47</v>
      </c>
      <c r="C129" t="s">
        <v>268</v>
      </c>
      <c r="D129">
        <v>2</v>
      </c>
      <c r="E129">
        <v>13</v>
      </c>
      <c r="F129">
        <v>10</v>
      </c>
      <c r="G129" t="s">
        <v>200</v>
      </c>
      <c r="H129" t="str">
        <f>SqlGenerator(B129:G129)</f>
        <v>(47,'beets',2,13,10,'can'),</v>
      </c>
      <c r="I129" t="str">
        <f>IF(C128=C129,"same","not")</f>
        <v>not</v>
      </c>
    </row>
    <row r="130" spans="2:9" x14ac:dyDescent="0.25">
      <c r="B130">
        <v>47</v>
      </c>
      <c r="C130" t="s">
        <v>225</v>
      </c>
      <c r="D130">
        <v>2</v>
      </c>
      <c r="E130">
        <v>13</v>
      </c>
      <c r="F130">
        <v>8</v>
      </c>
      <c r="G130" t="s">
        <v>200</v>
      </c>
      <c r="H130" t="str">
        <f>SqlGenerator(B130:G130)</f>
        <v>(47,'eggplants',2,13,8,'can'),</v>
      </c>
      <c r="I130" t="str">
        <f>IF(C129=C130,"same","not")</f>
        <v>not</v>
      </c>
    </row>
    <row r="131" spans="2:9" x14ac:dyDescent="0.25">
      <c r="B131">
        <v>47</v>
      </c>
      <c r="C131" t="s">
        <v>235</v>
      </c>
      <c r="D131">
        <v>2</v>
      </c>
      <c r="E131">
        <v>13</v>
      </c>
      <c r="F131">
        <v>6</v>
      </c>
      <c r="G131" t="s">
        <v>202</v>
      </c>
      <c r="H131" t="str">
        <f>SqlGenerator(B131:G131)</f>
        <v>(47,'garlic',2,13,6,'piece'),</v>
      </c>
      <c r="I131" t="str">
        <f>IF(C130=C131,"same","not")</f>
        <v>not</v>
      </c>
    </row>
    <row r="132" spans="2:9" x14ac:dyDescent="0.25">
      <c r="B132">
        <v>48</v>
      </c>
      <c r="C132" t="s">
        <v>243</v>
      </c>
      <c r="D132">
        <v>1</v>
      </c>
      <c r="E132">
        <v>4</v>
      </c>
      <c r="F132">
        <v>24</v>
      </c>
      <c r="G132" t="s">
        <v>201</v>
      </c>
      <c r="H132" t="str">
        <f>SqlGenerator(B132:G132)</f>
        <v>(48,'french fries',1,4,24,'package'),</v>
      </c>
      <c r="I132" t="str">
        <f>IF(C131=C132,"same","not")</f>
        <v>not</v>
      </c>
    </row>
    <row r="133" spans="2:9" x14ac:dyDescent="0.25">
      <c r="B133">
        <v>49</v>
      </c>
      <c r="C133" t="s">
        <v>258</v>
      </c>
      <c r="D133">
        <v>2</v>
      </c>
      <c r="E133">
        <v>11</v>
      </c>
      <c r="F133">
        <v>9</v>
      </c>
      <c r="G133" t="s">
        <v>201</v>
      </c>
      <c r="H133" t="str">
        <f>SqlGenerator(B133:G133)</f>
        <v>(49,'colby cheese',2,11,9,'package'),</v>
      </c>
      <c r="I133" t="str">
        <f>IF(C132=C133,"same","not")</f>
        <v>not</v>
      </c>
    </row>
    <row r="134" spans="2:9" x14ac:dyDescent="0.25">
      <c r="B134">
        <v>49</v>
      </c>
      <c r="C134" t="s">
        <v>267</v>
      </c>
      <c r="D134">
        <v>1</v>
      </c>
      <c r="E134">
        <v>11</v>
      </c>
      <c r="F134">
        <v>18</v>
      </c>
      <c r="G134" t="s">
        <v>201</v>
      </c>
      <c r="H134" t="str">
        <f>SqlGenerator(B134:G134)</f>
        <v>(49,'cottage cheese',1,11,18,'package'),</v>
      </c>
      <c r="I134" t="str">
        <f>IF(C133=C134,"same","not")</f>
        <v>not</v>
      </c>
    </row>
    <row r="135" spans="2:9" x14ac:dyDescent="0.25">
      <c r="B135">
        <v>50</v>
      </c>
      <c r="C135" t="s">
        <v>218</v>
      </c>
      <c r="D135">
        <v>2</v>
      </c>
      <c r="E135">
        <v>8</v>
      </c>
      <c r="F135">
        <v>21</v>
      </c>
      <c r="G135" t="s">
        <v>200</v>
      </c>
      <c r="H135" t="str">
        <f>SqlGenerator(B135:G135)</f>
        <v>(50,'corn',2,8,21,'can'),</v>
      </c>
      <c r="I135" t="str">
        <f>IF(C134=C135,"same","not")</f>
        <v>not</v>
      </c>
    </row>
    <row r="136" spans="2:9" x14ac:dyDescent="0.25">
      <c r="B136">
        <v>50</v>
      </c>
      <c r="C136" t="s">
        <v>253</v>
      </c>
      <c r="D136">
        <v>2</v>
      </c>
      <c r="E136">
        <v>8</v>
      </c>
      <c r="F136">
        <v>26</v>
      </c>
      <c r="G136" t="s">
        <v>200</v>
      </c>
      <c r="H136" t="str">
        <f>SqlGenerator(B136:G136)</f>
        <v>(50,'corned beef',2,8,26,'can'),</v>
      </c>
      <c r="I136" t="str">
        <f>IF(C135=C136,"same","not")</f>
        <v>not</v>
      </c>
    </row>
    <row r="137" spans="2:9" x14ac:dyDescent="0.25">
      <c r="B137">
        <v>51</v>
      </c>
      <c r="C137" t="s">
        <v>258</v>
      </c>
      <c r="D137">
        <v>1</v>
      </c>
      <c r="E137">
        <v>15</v>
      </c>
      <c r="F137">
        <v>9</v>
      </c>
      <c r="G137" t="s">
        <v>201</v>
      </c>
      <c r="H137" t="str">
        <f>SqlGenerator(B137:G137)</f>
        <v>(51,'colby cheese',1,15,9,'package'),</v>
      </c>
      <c r="I137" t="str">
        <f>IF(C136=C137,"same","not")</f>
        <v>not</v>
      </c>
    </row>
    <row r="138" spans="2:9" x14ac:dyDescent="0.25">
      <c r="B138">
        <v>52</v>
      </c>
      <c r="C138" t="s">
        <v>288</v>
      </c>
      <c r="D138">
        <v>1</v>
      </c>
      <c r="E138">
        <v>8</v>
      </c>
      <c r="F138">
        <v>11</v>
      </c>
      <c r="G138" t="s">
        <v>200</v>
      </c>
      <c r="H138" t="str">
        <f>SqlGenerator(B138:G138)</f>
        <v>(52,'fennel',1,8,11,'can'),</v>
      </c>
      <c r="I138" t="str">
        <f>IF(C137=C138,"same","not")</f>
        <v>not</v>
      </c>
    </row>
    <row r="139" spans="2:9" x14ac:dyDescent="0.25">
      <c r="B139">
        <v>53</v>
      </c>
      <c r="C139" t="s">
        <v>257</v>
      </c>
      <c r="D139">
        <v>1</v>
      </c>
      <c r="E139">
        <v>14</v>
      </c>
      <c r="F139">
        <v>6</v>
      </c>
      <c r="G139" t="s">
        <v>200</v>
      </c>
      <c r="H139" t="str">
        <f>SqlGenerator(B139:G139)</f>
        <v>(53,'cream of tartar',1,14,6,'can'),</v>
      </c>
      <c r="I139" t="str">
        <f>IF(C138=C139,"same","not")</f>
        <v>not</v>
      </c>
    </row>
    <row r="140" spans="2:9" x14ac:dyDescent="0.25">
      <c r="B140">
        <v>53</v>
      </c>
      <c r="C140" t="s">
        <v>247</v>
      </c>
      <c r="D140">
        <v>1</v>
      </c>
      <c r="E140">
        <v>14</v>
      </c>
      <c r="F140">
        <v>8</v>
      </c>
      <c r="G140" t="s">
        <v>200</v>
      </c>
      <c r="H140" t="str">
        <f>SqlGenerator(B140:G140)</f>
        <v>(53,'peaches',1,14,8,'can'),</v>
      </c>
      <c r="I140" t="str">
        <f>IF(C139=C140,"same","not")</f>
        <v>not</v>
      </c>
    </row>
    <row r="141" spans="2:9" x14ac:dyDescent="0.25">
      <c r="B141">
        <v>53</v>
      </c>
      <c r="C141" t="s">
        <v>250</v>
      </c>
      <c r="D141">
        <v>1</v>
      </c>
      <c r="E141">
        <v>14</v>
      </c>
      <c r="F141">
        <v>8</v>
      </c>
      <c r="G141" t="s">
        <v>201</v>
      </c>
      <c r="H141" t="str">
        <f>SqlGenerator(B141:G141)</f>
        <v>(53,'pumpkin seeds',1,14,8,'package'),</v>
      </c>
      <c r="I141" t="str">
        <f>IF(C140=C141,"same","not")</f>
        <v>not</v>
      </c>
    </row>
    <row r="142" spans="2:9" x14ac:dyDescent="0.25">
      <c r="B142">
        <v>54</v>
      </c>
      <c r="C142" t="s">
        <v>272</v>
      </c>
      <c r="D142">
        <v>2</v>
      </c>
      <c r="E142">
        <v>9</v>
      </c>
      <c r="F142">
        <v>10</v>
      </c>
      <c r="G142" t="s">
        <v>200</v>
      </c>
      <c r="H142" t="str">
        <f>SqlGenerator(B142:G142)</f>
        <v>(54,'pea beans',2,9,10,'can'),</v>
      </c>
      <c r="I142" t="str">
        <f>IF(C141=C142,"same","not")</f>
        <v>not</v>
      </c>
    </row>
    <row r="143" spans="2:9" x14ac:dyDescent="0.25">
      <c r="B143">
        <v>54</v>
      </c>
      <c r="C143" t="s">
        <v>220</v>
      </c>
      <c r="D143">
        <v>1</v>
      </c>
      <c r="E143">
        <v>9</v>
      </c>
      <c r="F143">
        <v>26</v>
      </c>
      <c r="G143" t="s">
        <v>200</v>
      </c>
      <c r="H143" t="str">
        <f>SqlGenerator(B143:G143)</f>
        <v>(54,'poppy seeds',1,9,26,'can'),</v>
      </c>
      <c r="I143" t="str">
        <f>IF(C142=C143,"same","not")</f>
        <v>not</v>
      </c>
    </row>
    <row r="144" spans="2:9" x14ac:dyDescent="0.25">
      <c r="B144">
        <v>54</v>
      </c>
      <c r="C144" t="s">
        <v>265</v>
      </c>
      <c r="D144">
        <v>1</v>
      </c>
      <c r="E144">
        <v>9</v>
      </c>
      <c r="F144">
        <v>27</v>
      </c>
      <c r="G144" t="s">
        <v>202</v>
      </c>
      <c r="H144" t="str">
        <f>SqlGenerator(B144:G144)</f>
        <v>(54,'steak',1,9,27,'piece'),</v>
      </c>
      <c r="I144" t="str">
        <f>IF(C143=C144,"same","not")</f>
        <v>not</v>
      </c>
    </row>
    <row r="145" spans="2:9" x14ac:dyDescent="0.25">
      <c r="B145">
        <v>55</v>
      </c>
      <c r="C145" t="s">
        <v>210</v>
      </c>
      <c r="D145">
        <v>1</v>
      </c>
      <c r="E145">
        <v>5</v>
      </c>
      <c r="F145">
        <v>7</v>
      </c>
      <c r="G145" t="s">
        <v>201</v>
      </c>
      <c r="H145" t="str">
        <f>SqlGenerator(B145:G145)</f>
        <v>(55,'leeks',1,5,7,'package'),</v>
      </c>
      <c r="I145" t="str">
        <f>IF(C144=C145,"same","not")</f>
        <v>not</v>
      </c>
    </row>
    <row r="146" spans="2:9" x14ac:dyDescent="0.25">
      <c r="B146">
        <v>55</v>
      </c>
      <c r="C146" t="s">
        <v>255</v>
      </c>
      <c r="D146">
        <v>1</v>
      </c>
      <c r="E146">
        <v>5</v>
      </c>
      <c r="F146">
        <v>10</v>
      </c>
      <c r="G146" t="s">
        <v>200</v>
      </c>
      <c r="H146" t="str">
        <f>SqlGenerator(B146:G146)</f>
        <v>(55,'pinto beans',1,5,10,'can'),</v>
      </c>
      <c r="I146" t="str">
        <f>IF(C145=C146,"same","not")</f>
        <v>not</v>
      </c>
    </row>
    <row r="147" spans="2:9" x14ac:dyDescent="0.25">
      <c r="B147">
        <v>55</v>
      </c>
      <c r="C147" t="s">
        <v>275</v>
      </c>
      <c r="D147">
        <v>2</v>
      </c>
      <c r="E147">
        <v>5</v>
      </c>
      <c r="F147">
        <v>17</v>
      </c>
      <c r="G147" t="s">
        <v>201</v>
      </c>
      <c r="H147" t="str">
        <f>SqlGenerator(B147:G147)</f>
        <v>(55,'ricotta cheese',2,5,17,'package'),</v>
      </c>
      <c r="I147" t="str">
        <f>IF(C146=C147,"same","not")</f>
        <v>not</v>
      </c>
    </row>
    <row r="148" spans="2:9" x14ac:dyDescent="0.25">
      <c r="B148">
        <v>55</v>
      </c>
      <c r="C148" t="s">
        <v>265</v>
      </c>
      <c r="D148">
        <v>2</v>
      </c>
      <c r="E148">
        <v>5</v>
      </c>
      <c r="F148">
        <v>27</v>
      </c>
      <c r="G148" t="s">
        <v>202</v>
      </c>
      <c r="H148" t="str">
        <f>SqlGenerator(B148:G148)</f>
        <v>(55,'steak',2,5,27,'piece'),</v>
      </c>
      <c r="I148" t="str">
        <f>IF(C147=C148,"same","not")</f>
        <v>not</v>
      </c>
    </row>
    <row r="149" spans="2:9" x14ac:dyDescent="0.25">
      <c r="B149">
        <v>56</v>
      </c>
      <c r="C149" t="s">
        <v>211</v>
      </c>
      <c r="D149">
        <v>1</v>
      </c>
      <c r="E149">
        <v>3</v>
      </c>
      <c r="F149">
        <v>14</v>
      </c>
      <c r="G149" t="s">
        <v>201</v>
      </c>
      <c r="H149" t="str">
        <f>SqlGenerator(B149:G149)</f>
        <v>(56,'lettuce',1,3,14,'package'),</v>
      </c>
      <c r="I149" t="str">
        <f>IF(C148=C149,"same","not")</f>
        <v>not</v>
      </c>
    </row>
    <row r="150" spans="2:9" x14ac:dyDescent="0.25">
      <c r="B150">
        <v>56</v>
      </c>
      <c r="C150" t="s">
        <v>221</v>
      </c>
      <c r="D150">
        <v>2</v>
      </c>
      <c r="E150">
        <v>3</v>
      </c>
      <c r="F150">
        <v>36</v>
      </c>
      <c r="G150" t="s">
        <v>200</v>
      </c>
      <c r="H150" t="str">
        <f>SqlGenerator(B150:G150)</f>
        <v>(56,'sauerkraut',2,3,36,'can'),</v>
      </c>
      <c r="I150" t="str">
        <f>IF(C149=C150,"same","not")</f>
        <v>not</v>
      </c>
    </row>
    <row r="151" spans="2:9" x14ac:dyDescent="0.25">
      <c r="B151">
        <v>57</v>
      </c>
      <c r="C151" t="s">
        <v>233</v>
      </c>
      <c r="D151">
        <v>1</v>
      </c>
      <c r="E151">
        <v>8</v>
      </c>
      <c r="F151">
        <v>23</v>
      </c>
      <c r="G151" t="s">
        <v>201</v>
      </c>
      <c r="H151" t="str">
        <f>SqlGenerator(B151:G151)</f>
        <v>(57,'acorn squash',1,8,23,'package'),</v>
      </c>
      <c r="I151" t="str">
        <f>IF(C150=C151,"same","not")</f>
        <v>not</v>
      </c>
    </row>
    <row r="152" spans="2:9" x14ac:dyDescent="0.25">
      <c r="B152">
        <v>57</v>
      </c>
      <c r="C152" t="s">
        <v>292</v>
      </c>
      <c r="D152">
        <v>1</v>
      </c>
      <c r="E152">
        <v>8</v>
      </c>
      <c r="F152">
        <v>11</v>
      </c>
      <c r="G152" t="s">
        <v>200</v>
      </c>
      <c r="H152" t="str">
        <f>SqlGenerator(B152:G152)</f>
        <v>(57,'bay leaves',1,8,11,'can'),</v>
      </c>
      <c r="I152" t="e">
        <f>IF(#REF!=C152,"same","not")</f>
        <v>#REF!</v>
      </c>
    </row>
    <row r="153" spans="2:9" x14ac:dyDescent="0.25">
      <c r="B153">
        <v>57</v>
      </c>
      <c r="C153" t="s">
        <v>260</v>
      </c>
      <c r="D153">
        <v>1</v>
      </c>
      <c r="E153">
        <v>8</v>
      </c>
      <c r="F153">
        <v>23</v>
      </c>
      <c r="G153" t="s">
        <v>202</v>
      </c>
      <c r="H153" t="str">
        <f>SqlGenerator(B153:G153)</f>
        <v>(57,'Canadian bacon',1,8,23,'piece'),</v>
      </c>
      <c r="I153" t="str">
        <f>IF(C152=C153,"same","not")</f>
        <v>not</v>
      </c>
    </row>
    <row r="154" spans="2:9" x14ac:dyDescent="0.25">
      <c r="B154">
        <v>57</v>
      </c>
      <c r="C154" t="s">
        <v>286</v>
      </c>
      <c r="D154">
        <v>2</v>
      </c>
      <c r="E154">
        <v>8</v>
      </c>
      <c r="F154">
        <v>11</v>
      </c>
      <c r="G154" t="s">
        <v>200</v>
      </c>
      <c r="H154" t="str">
        <f>SqlGenerator(B154:G154)</f>
        <v>(57,'chestnuts',2,8,11,'can'),</v>
      </c>
      <c r="I154" t="str">
        <f>IF(C153=C154,"same","not")</f>
        <v>not</v>
      </c>
    </row>
    <row r="155" spans="2:9" x14ac:dyDescent="0.25">
      <c r="B155">
        <v>58</v>
      </c>
      <c r="C155" t="s">
        <v>256</v>
      </c>
      <c r="D155">
        <v>1</v>
      </c>
      <c r="E155">
        <v>8</v>
      </c>
      <c r="F155">
        <v>12</v>
      </c>
      <c r="G155" t="s">
        <v>203</v>
      </c>
      <c r="H155" t="str">
        <f>SqlGenerator(B155:G155)</f>
        <v>(58,'brandy',1,8,12,'bottle'),</v>
      </c>
      <c r="I155" t="str">
        <f>IF(C154=C155,"same","not")</f>
        <v>not</v>
      </c>
    </row>
    <row r="156" spans="2:9" x14ac:dyDescent="0.25">
      <c r="B156">
        <v>58</v>
      </c>
      <c r="C156" t="s">
        <v>219</v>
      </c>
      <c r="D156">
        <v>2</v>
      </c>
      <c r="E156">
        <v>8</v>
      </c>
      <c r="F156">
        <v>6</v>
      </c>
      <c r="G156" t="s">
        <v>200</v>
      </c>
      <c r="H156" t="str">
        <f>SqlGenerator(B156:G156)</f>
        <v>(58,'canola oil',2,8,6,'can'),</v>
      </c>
      <c r="I156" t="str">
        <f>IF(C155=C156,"same","not")</f>
        <v>not</v>
      </c>
    </row>
    <row r="157" spans="2:9" x14ac:dyDescent="0.25">
      <c r="B157">
        <v>58</v>
      </c>
      <c r="C157" t="s">
        <v>257</v>
      </c>
      <c r="D157">
        <v>2</v>
      </c>
      <c r="E157">
        <v>8</v>
      </c>
      <c r="F157">
        <v>6</v>
      </c>
      <c r="G157" t="s">
        <v>200</v>
      </c>
      <c r="H157" t="str">
        <f>SqlGenerator(B157:G157)</f>
        <v>(58,'cream of tartar',2,8,6,'can'),</v>
      </c>
      <c r="I157" t="str">
        <f>IF(C156=C157,"same","not")</f>
        <v>not</v>
      </c>
    </row>
    <row r="158" spans="2:9" x14ac:dyDescent="0.25">
      <c r="B158">
        <v>58</v>
      </c>
      <c r="C158" t="s">
        <v>234</v>
      </c>
      <c r="D158">
        <v>1</v>
      </c>
      <c r="E158">
        <v>8</v>
      </c>
      <c r="F158">
        <v>24</v>
      </c>
      <c r="G158" t="s">
        <v>202</v>
      </c>
      <c r="H158" t="str">
        <f>SqlGenerator(B158:G158)</f>
        <v>(58,'hamburger',1,8,24,'piece'),</v>
      </c>
      <c r="I158" t="str">
        <f>IF(C157=C158,"same","not")</f>
        <v>not</v>
      </c>
    </row>
    <row r="159" spans="2:9" x14ac:dyDescent="0.25">
      <c r="B159">
        <v>58</v>
      </c>
      <c r="C159" t="s">
        <v>241</v>
      </c>
      <c r="D159">
        <v>2</v>
      </c>
      <c r="E159">
        <v>8</v>
      </c>
      <c r="F159">
        <v>24</v>
      </c>
      <c r="G159" t="s">
        <v>201</v>
      </c>
      <c r="H159" t="str">
        <f>SqlGenerator(B159:G159)</f>
        <v>(58,'hash browns',2,8,24,'package'),</v>
      </c>
      <c r="I159" t="str">
        <f>IF(C158=C159,"same","not")</f>
        <v>not</v>
      </c>
    </row>
    <row r="160" spans="2:9" x14ac:dyDescent="0.25">
      <c r="B160">
        <v>58</v>
      </c>
      <c r="C160" t="s">
        <v>294</v>
      </c>
      <c r="D160">
        <v>1</v>
      </c>
      <c r="E160">
        <v>8</v>
      </c>
      <c r="F160">
        <v>11</v>
      </c>
      <c r="G160" t="s">
        <v>201</v>
      </c>
      <c r="H160" t="str">
        <f>SqlGenerator(B160:G160)</f>
        <v>(58,'sesame seeds',1,8,11,'package'),</v>
      </c>
      <c r="I160" t="str">
        <f>IF(C159=C160,"same","not")</f>
        <v>not</v>
      </c>
    </row>
    <row r="161" spans="2:9" x14ac:dyDescent="0.25">
      <c r="B161">
        <v>59</v>
      </c>
      <c r="C161" t="s">
        <v>242</v>
      </c>
      <c r="D161">
        <v>2</v>
      </c>
      <c r="E161">
        <v>12</v>
      </c>
      <c r="F161">
        <v>11</v>
      </c>
      <c r="G161" t="s">
        <v>200</v>
      </c>
      <c r="H161" t="str">
        <f>SqlGenerator(B161:G161)</f>
        <v>(59,'black-eyed peas',2,12,11,'can'),</v>
      </c>
      <c r="I161" t="str">
        <f>IF(C160=C161,"same","not")</f>
        <v>not</v>
      </c>
    </row>
    <row r="162" spans="2:9" x14ac:dyDescent="0.25">
      <c r="B162">
        <v>59</v>
      </c>
      <c r="C162" t="s">
        <v>262</v>
      </c>
      <c r="D162">
        <v>1</v>
      </c>
      <c r="E162">
        <v>12</v>
      </c>
      <c r="F162">
        <v>18</v>
      </c>
      <c r="G162" t="s">
        <v>201</v>
      </c>
      <c r="H162" t="str">
        <f>SqlGenerator(B162:G162)</f>
        <v>(59,'feta cheese',1,12,18,'package'),</v>
      </c>
      <c r="I162" t="str">
        <f>IF(C161=C162,"same","not")</f>
        <v>not</v>
      </c>
    </row>
    <row r="163" spans="2:9" x14ac:dyDescent="0.25">
      <c r="B163">
        <v>59</v>
      </c>
      <c r="C163" t="s">
        <v>250</v>
      </c>
      <c r="D163">
        <v>2</v>
      </c>
      <c r="E163">
        <v>12</v>
      </c>
      <c r="F163">
        <v>8</v>
      </c>
      <c r="G163" t="s">
        <v>201</v>
      </c>
      <c r="H163" t="str">
        <f>SqlGenerator(B163:G163)</f>
        <v>(59,'pumpkin seeds',2,12,8,'package'),</v>
      </c>
      <c r="I163" t="str">
        <f>IF(C162=C163,"same","not")</f>
        <v>not</v>
      </c>
    </row>
    <row r="164" spans="2:9" x14ac:dyDescent="0.25">
      <c r="B164">
        <v>60</v>
      </c>
      <c r="C164" t="s">
        <v>245</v>
      </c>
      <c r="D164">
        <v>1</v>
      </c>
      <c r="E164">
        <v>5</v>
      </c>
      <c r="F164">
        <v>23</v>
      </c>
      <c r="G164" t="s">
        <v>201</v>
      </c>
      <c r="H164" t="str">
        <f>SqlGenerator(B164:G164)</f>
        <v>(60,'ale',1,5,23,'package'),</v>
      </c>
      <c r="I164" t="str">
        <f>IF(C163=C164,"same","not")</f>
        <v>not</v>
      </c>
    </row>
    <row r="165" spans="2:9" x14ac:dyDescent="0.25">
      <c r="B165">
        <v>60</v>
      </c>
      <c r="C165" t="s">
        <v>217</v>
      </c>
      <c r="D165">
        <v>1</v>
      </c>
      <c r="E165">
        <v>5</v>
      </c>
      <c r="F165">
        <v>7</v>
      </c>
      <c r="G165" t="s">
        <v>203</v>
      </c>
      <c r="H165" t="str">
        <f>SqlGenerator(B165:G165)</f>
        <v>(60,'borscht',1,5,7,'bottle'),</v>
      </c>
      <c r="I165" t="str">
        <f>IF(C164=C165,"same","not")</f>
        <v>not</v>
      </c>
    </row>
    <row r="166" spans="2:9" x14ac:dyDescent="0.25">
      <c r="B166">
        <v>60</v>
      </c>
      <c r="C166" t="s">
        <v>249</v>
      </c>
      <c r="D166">
        <v>2</v>
      </c>
      <c r="E166">
        <v>5</v>
      </c>
      <c r="F166">
        <v>8</v>
      </c>
      <c r="G166" t="s">
        <v>200</v>
      </c>
      <c r="H166" t="str">
        <f>SqlGenerator(B166:G166)</f>
        <v>(60,'hot sauce',2,5,8,'can'),</v>
      </c>
      <c r="I166" t="str">
        <f>IF(C165=C166,"same","not")</f>
        <v>not</v>
      </c>
    </row>
    <row r="167" spans="2:9" x14ac:dyDescent="0.25">
      <c r="B167">
        <v>61</v>
      </c>
      <c r="C167" t="s">
        <v>219</v>
      </c>
      <c r="D167">
        <v>2</v>
      </c>
      <c r="E167">
        <v>2</v>
      </c>
      <c r="F167">
        <v>6</v>
      </c>
      <c r="G167" t="s">
        <v>200</v>
      </c>
      <c r="H167" t="str">
        <f>SqlGenerator(B167:G167)</f>
        <v>(61,'canola oil',2,2,6,'can'),</v>
      </c>
      <c r="I167" t="str">
        <f>IF(C166=C167,"same","not")</f>
        <v>not</v>
      </c>
    </row>
    <row r="168" spans="2:9" x14ac:dyDescent="0.25">
      <c r="B168">
        <v>61</v>
      </c>
      <c r="C168" t="s">
        <v>266</v>
      </c>
      <c r="D168">
        <v>2</v>
      </c>
      <c r="E168">
        <v>2</v>
      </c>
      <c r="F168">
        <v>7</v>
      </c>
      <c r="G168" t="s">
        <v>200</v>
      </c>
      <c r="H168" t="str">
        <f>SqlGenerator(B168:G168)</f>
        <v>(61,'cornmeal',2,2,7,'can'),</v>
      </c>
      <c r="I168" t="str">
        <f>IF(C167=C168,"same","not")</f>
        <v>not</v>
      </c>
    </row>
    <row r="169" spans="2:9" x14ac:dyDescent="0.25">
      <c r="B169">
        <v>62</v>
      </c>
      <c r="C169" t="s">
        <v>283</v>
      </c>
      <c r="D169">
        <v>2</v>
      </c>
      <c r="E169">
        <v>4</v>
      </c>
      <c r="F169">
        <v>12</v>
      </c>
      <c r="G169" t="s">
        <v>200</v>
      </c>
      <c r="H169" t="str">
        <f>SqlGenerator(B169:G169)</f>
        <v>(62,'baking soda',2,4,12,'can'),</v>
      </c>
      <c r="I169" t="str">
        <f>IF(C168=C169,"same","not")</f>
        <v>not</v>
      </c>
    </row>
    <row r="170" spans="2:9" x14ac:dyDescent="0.25">
      <c r="B170">
        <v>62</v>
      </c>
      <c r="C170" t="s">
        <v>219</v>
      </c>
      <c r="D170">
        <v>2</v>
      </c>
      <c r="E170">
        <v>4</v>
      </c>
      <c r="F170">
        <v>6</v>
      </c>
      <c r="G170" t="s">
        <v>200</v>
      </c>
      <c r="H170" t="str">
        <f>SqlGenerator(B170:G170)</f>
        <v>(62,'canola oil',2,4,6,'can'),</v>
      </c>
      <c r="I170" t="str">
        <f>IF(C169=C170,"same","not")</f>
        <v>not</v>
      </c>
    </row>
    <row r="171" spans="2:9" x14ac:dyDescent="0.25">
      <c r="B171">
        <v>62</v>
      </c>
      <c r="C171" t="s">
        <v>257</v>
      </c>
      <c r="D171">
        <v>1</v>
      </c>
      <c r="E171">
        <v>4</v>
      </c>
      <c r="F171">
        <v>6</v>
      </c>
      <c r="G171" t="s">
        <v>200</v>
      </c>
      <c r="H171" t="str">
        <f>SqlGenerator(B171:G171)</f>
        <v>(62,'cream of tartar',1,4,6,'can'),</v>
      </c>
      <c r="I171" t="str">
        <f>IF(C170=C171,"same","not")</f>
        <v>not</v>
      </c>
    </row>
    <row r="172" spans="2:9" x14ac:dyDescent="0.25">
      <c r="B172">
        <v>62</v>
      </c>
      <c r="C172" t="s">
        <v>249</v>
      </c>
      <c r="D172">
        <v>2</v>
      </c>
      <c r="E172">
        <v>4</v>
      </c>
      <c r="F172">
        <v>8</v>
      </c>
      <c r="G172" t="s">
        <v>200</v>
      </c>
      <c r="H172" t="str">
        <f>SqlGenerator(B172:G172)</f>
        <v>(62,'hot sauce',2,4,8,'can'),</v>
      </c>
      <c r="I172" t="str">
        <f>IF(C171=C172,"same","not")</f>
        <v>not</v>
      </c>
    </row>
    <row r="173" spans="2:9" x14ac:dyDescent="0.25">
      <c r="B173">
        <v>63</v>
      </c>
      <c r="C173" t="s">
        <v>248</v>
      </c>
      <c r="D173">
        <v>1</v>
      </c>
      <c r="E173">
        <v>4</v>
      </c>
      <c r="F173">
        <v>8</v>
      </c>
      <c r="G173" t="s">
        <v>200</v>
      </c>
      <c r="H173" t="str">
        <f>SqlGenerator(B173:G173)</f>
        <v>(63,'coriander',1,4,8,'can'),</v>
      </c>
      <c r="I173" t="str">
        <f>IF(C172=C173,"same","not")</f>
        <v>not</v>
      </c>
    </row>
    <row r="174" spans="2:9" x14ac:dyDescent="0.25">
      <c r="B174">
        <v>63</v>
      </c>
      <c r="C174" t="s">
        <v>262</v>
      </c>
      <c r="D174">
        <v>2</v>
      </c>
      <c r="E174">
        <v>4</v>
      </c>
      <c r="F174">
        <v>18</v>
      </c>
      <c r="G174" t="s">
        <v>201</v>
      </c>
      <c r="H174" t="str">
        <f>SqlGenerator(B174:G174)</f>
        <v>(63,'feta cheese',2,4,18,'package'),</v>
      </c>
      <c r="I174" t="str">
        <f>IF(C173=C174,"same","not")</f>
        <v>not</v>
      </c>
    </row>
    <row r="175" spans="2:9" x14ac:dyDescent="0.25">
      <c r="B175">
        <v>64</v>
      </c>
      <c r="C175" t="s">
        <v>225</v>
      </c>
      <c r="D175">
        <v>2</v>
      </c>
      <c r="E175">
        <v>14</v>
      </c>
      <c r="F175">
        <v>8</v>
      </c>
      <c r="G175" t="s">
        <v>200</v>
      </c>
      <c r="H175" t="str">
        <f>SqlGenerator(B175:G175)</f>
        <v>(64,'eggplants',2,14,8,'can'),</v>
      </c>
      <c r="I175" t="str">
        <f>IF(C174=C175,"same","not")</f>
        <v>not</v>
      </c>
    </row>
    <row r="176" spans="2:9" x14ac:dyDescent="0.25">
      <c r="B176">
        <v>64</v>
      </c>
      <c r="C176" t="s">
        <v>262</v>
      </c>
      <c r="D176">
        <v>1</v>
      </c>
      <c r="E176">
        <v>14</v>
      </c>
      <c r="F176">
        <v>18</v>
      </c>
      <c r="G176" t="s">
        <v>201</v>
      </c>
      <c r="H176" t="str">
        <f>SqlGenerator(B176:G176)</f>
        <v>(64,'feta cheese',1,14,18,'package'),</v>
      </c>
      <c r="I176" t="str">
        <f>IF(C175=C176,"same","not")</f>
        <v>not</v>
      </c>
    </row>
    <row r="177" spans="2:9" x14ac:dyDescent="0.25">
      <c r="B177">
        <v>64</v>
      </c>
      <c r="C177" t="s">
        <v>211</v>
      </c>
      <c r="D177">
        <v>2</v>
      </c>
      <c r="E177">
        <v>14</v>
      </c>
      <c r="F177">
        <v>14</v>
      </c>
      <c r="G177" t="s">
        <v>201</v>
      </c>
      <c r="H177" t="str">
        <f>SqlGenerator(B177:G177)</f>
        <v>(64,'lettuce',2,14,14,'package'),</v>
      </c>
      <c r="I177" t="str">
        <f>IF(C176=C177,"same","not")</f>
        <v>not</v>
      </c>
    </row>
    <row r="178" spans="2:9" x14ac:dyDescent="0.25">
      <c r="B178">
        <v>64</v>
      </c>
      <c r="C178" t="s">
        <v>244</v>
      </c>
      <c r="D178">
        <v>2</v>
      </c>
      <c r="E178">
        <v>14</v>
      </c>
      <c r="F178">
        <v>24</v>
      </c>
      <c r="G178" t="s">
        <v>202</v>
      </c>
      <c r="H178" t="str">
        <f>SqlGenerator(B178:G178)</f>
        <v>(64,'lobsters',2,14,24,'piece'),</v>
      </c>
      <c r="I178" t="str">
        <f>IF(C177=C178,"same","not")</f>
        <v>not</v>
      </c>
    </row>
    <row r="179" spans="2:9" x14ac:dyDescent="0.25">
      <c r="B179">
        <v>64</v>
      </c>
      <c r="C179" t="s">
        <v>228</v>
      </c>
      <c r="D179">
        <v>1</v>
      </c>
      <c r="E179">
        <v>14</v>
      </c>
      <c r="F179">
        <v>9</v>
      </c>
      <c r="G179" t="s">
        <v>201</v>
      </c>
      <c r="H179" t="str">
        <f>SqlGenerator(B179:G179)</f>
        <v>(64,'red pepper flakes',1,14,9,'package'),</v>
      </c>
      <c r="I179" t="str">
        <f>IF(C178=C179,"same","not")</f>
        <v>not</v>
      </c>
    </row>
    <row r="180" spans="2:9" x14ac:dyDescent="0.25">
      <c r="B180">
        <v>64</v>
      </c>
      <c r="C180" t="s">
        <v>230</v>
      </c>
      <c r="D180">
        <v>2</v>
      </c>
      <c r="E180">
        <v>14</v>
      </c>
      <c r="F180">
        <v>10</v>
      </c>
      <c r="G180" t="s">
        <v>201</v>
      </c>
      <c r="H180" t="str">
        <f>SqlGenerator(B180:G180)</f>
        <v>(64,'spearmint',2,14,10,'package'),</v>
      </c>
      <c r="I180" t="str">
        <f>IF(C179=C180,"same","not")</f>
        <v>not</v>
      </c>
    </row>
    <row r="181" spans="2:9" x14ac:dyDescent="0.25">
      <c r="B181">
        <v>65</v>
      </c>
      <c r="C181" t="s">
        <v>247</v>
      </c>
      <c r="D181">
        <v>1</v>
      </c>
      <c r="E181">
        <v>2</v>
      </c>
      <c r="F181">
        <v>8</v>
      </c>
      <c r="G181" t="s">
        <v>200</v>
      </c>
      <c r="H181" t="str">
        <f>SqlGenerator(B181:G181)</f>
        <v>(65,'peaches',1,2,8,'can'),</v>
      </c>
      <c r="I181" t="str">
        <f>IF(C180=C181,"same","not")</f>
        <v>not</v>
      </c>
    </row>
    <row r="182" spans="2:9" x14ac:dyDescent="0.25">
      <c r="B182">
        <v>65</v>
      </c>
      <c r="C182" t="s">
        <v>220</v>
      </c>
      <c r="D182">
        <v>1</v>
      </c>
      <c r="E182">
        <v>2</v>
      </c>
      <c r="F182">
        <v>26</v>
      </c>
      <c r="G182" t="s">
        <v>200</v>
      </c>
      <c r="H182" t="str">
        <f>SqlGenerator(B182:G182)</f>
        <v>(65,'poppy seeds',1,2,26,'can'),</v>
      </c>
      <c r="I182" t="str">
        <f>IF(C181=C182,"same","not")</f>
        <v>not</v>
      </c>
    </row>
    <row r="183" spans="2:9" x14ac:dyDescent="0.25">
      <c r="B183">
        <v>65</v>
      </c>
      <c r="C183" t="s">
        <v>228</v>
      </c>
      <c r="D183">
        <v>2</v>
      </c>
      <c r="E183">
        <v>2</v>
      </c>
      <c r="F183">
        <v>9</v>
      </c>
      <c r="G183" t="s">
        <v>201</v>
      </c>
      <c r="H183" t="str">
        <f>SqlGenerator(B183:G183)</f>
        <v>(65,'red pepper flakes',2,2,9,'package'),</v>
      </c>
      <c r="I183" t="str">
        <f>IF(C182=C183,"same","not")</f>
        <v>not</v>
      </c>
    </row>
    <row r="184" spans="2:9" x14ac:dyDescent="0.25">
      <c r="B184">
        <v>67</v>
      </c>
      <c r="C184" t="s">
        <v>286</v>
      </c>
      <c r="D184">
        <v>2</v>
      </c>
      <c r="E184">
        <v>4</v>
      </c>
      <c r="F184">
        <v>11</v>
      </c>
      <c r="G184" t="s">
        <v>200</v>
      </c>
      <c r="H184" t="str">
        <f>SqlGenerator(B184:G184)</f>
        <v>(67,'chestnuts',2,4,11,'can'),</v>
      </c>
      <c r="I184" t="str">
        <f>IF(C183=C184,"same","not")</f>
        <v>not</v>
      </c>
    </row>
    <row r="185" spans="2:9" x14ac:dyDescent="0.25">
      <c r="B185">
        <v>67</v>
      </c>
      <c r="C185" t="s">
        <v>247</v>
      </c>
      <c r="D185">
        <v>1</v>
      </c>
      <c r="E185">
        <v>4</v>
      </c>
      <c r="F185">
        <v>8</v>
      </c>
      <c r="G185" t="s">
        <v>200</v>
      </c>
      <c r="H185" t="str">
        <f>SqlGenerator(B185:G185)</f>
        <v>(67,'peaches',1,4,8,'can'),</v>
      </c>
      <c r="I185" t="str">
        <f>IF(C184=C185,"same","not")</f>
        <v>not</v>
      </c>
    </row>
    <row r="186" spans="2:9" x14ac:dyDescent="0.25">
      <c r="B186">
        <v>68</v>
      </c>
      <c r="C186" t="s">
        <v>217</v>
      </c>
      <c r="D186">
        <v>2</v>
      </c>
      <c r="E186">
        <v>2</v>
      </c>
      <c r="F186">
        <v>7</v>
      </c>
      <c r="G186" t="s">
        <v>203</v>
      </c>
      <c r="H186" t="str">
        <f>SqlGenerator(B186:G186)</f>
        <v>(68,'borscht',2,2,7,'bottle'),</v>
      </c>
      <c r="I186" t="str">
        <f>IF(C185=C186,"same","not")</f>
        <v>not</v>
      </c>
    </row>
    <row r="187" spans="2:9" x14ac:dyDescent="0.25">
      <c r="B187">
        <v>68</v>
      </c>
      <c r="C187" t="s">
        <v>248</v>
      </c>
      <c r="D187">
        <v>1</v>
      </c>
      <c r="E187">
        <v>2</v>
      </c>
      <c r="F187">
        <v>8</v>
      </c>
      <c r="G187" t="s">
        <v>200</v>
      </c>
      <c r="H187" t="str">
        <f>SqlGenerator(B187:G187)</f>
        <v>(68,'coriander',1,2,8,'can'),</v>
      </c>
      <c r="I187" t="str">
        <f>IF(C186=C187,"same","not")</f>
        <v>not</v>
      </c>
    </row>
    <row r="188" spans="2:9" x14ac:dyDescent="0.25">
      <c r="B188">
        <v>68</v>
      </c>
      <c r="C188" t="s">
        <v>288</v>
      </c>
      <c r="D188">
        <v>2</v>
      </c>
      <c r="E188">
        <v>2</v>
      </c>
      <c r="F188">
        <v>11</v>
      </c>
      <c r="G188" t="s">
        <v>200</v>
      </c>
      <c r="H188" t="str">
        <f>SqlGenerator(B188:G188)</f>
        <v>(68,'fennel',2,2,11,'can'),</v>
      </c>
      <c r="I188" t="str">
        <f>IF(C187=C188,"same","not")</f>
        <v>not</v>
      </c>
    </row>
    <row r="189" spans="2:9" x14ac:dyDescent="0.25">
      <c r="B189">
        <v>68</v>
      </c>
      <c r="C189" t="s">
        <v>215</v>
      </c>
      <c r="D189">
        <v>1</v>
      </c>
      <c r="E189">
        <v>2</v>
      </c>
      <c r="F189">
        <v>14</v>
      </c>
      <c r="G189" t="s">
        <v>202</v>
      </c>
      <c r="H189" t="str">
        <f>SqlGenerator(B189:G189)</f>
        <v>(68,'liver',1,2,14,'piece'),</v>
      </c>
      <c r="I189" t="str">
        <f>IF(C188=C189,"same","not")</f>
        <v>not</v>
      </c>
    </row>
    <row r="190" spans="2:9" x14ac:dyDescent="0.25">
      <c r="B190">
        <v>68</v>
      </c>
      <c r="C190" t="s">
        <v>239</v>
      </c>
      <c r="D190">
        <v>1</v>
      </c>
      <c r="E190">
        <v>2</v>
      </c>
      <c r="F190">
        <v>6</v>
      </c>
      <c r="G190" t="s">
        <v>200</v>
      </c>
      <c r="H190" t="str">
        <f>SqlGenerator(B190:G190)</f>
        <v>(68,'pasta',1,2,6,'can'),</v>
      </c>
      <c r="I190" t="str">
        <f>IF(C189=C190,"same","not")</f>
        <v>not</v>
      </c>
    </row>
    <row r="191" spans="2:9" x14ac:dyDescent="0.25">
      <c r="B191">
        <v>68</v>
      </c>
      <c r="C191" t="s">
        <v>221</v>
      </c>
      <c r="D191">
        <v>1</v>
      </c>
      <c r="E191">
        <v>2</v>
      </c>
      <c r="F191">
        <v>36</v>
      </c>
      <c r="G191" t="s">
        <v>200</v>
      </c>
      <c r="H191" t="str">
        <f>SqlGenerator(B191:G191)</f>
        <v>(68,'sauerkraut',1,2,36,'can'),</v>
      </c>
      <c r="I191" t="str">
        <f>IF(C190=C191,"same","not")</f>
        <v>not</v>
      </c>
    </row>
    <row r="192" spans="2:9" x14ac:dyDescent="0.25">
      <c r="B192">
        <v>69</v>
      </c>
      <c r="C192" t="s">
        <v>292</v>
      </c>
      <c r="D192">
        <v>2</v>
      </c>
      <c r="E192">
        <v>7</v>
      </c>
      <c r="F192">
        <v>11</v>
      </c>
      <c r="G192" t="s">
        <v>200</v>
      </c>
      <c r="H192" t="str">
        <f>SqlGenerator(B192:G192)</f>
        <v>(69,'bay leaves',2,7,11,'can'),</v>
      </c>
      <c r="I192" t="str">
        <f>IF(C191=C192,"same","not")</f>
        <v>not</v>
      </c>
    </row>
    <row r="193" spans="2:9" x14ac:dyDescent="0.25">
      <c r="B193">
        <v>69</v>
      </c>
      <c r="C193" t="s">
        <v>294</v>
      </c>
      <c r="D193">
        <v>2</v>
      </c>
      <c r="E193">
        <v>7</v>
      </c>
      <c r="F193">
        <v>11</v>
      </c>
      <c r="G193" t="s">
        <v>201</v>
      </c>
      <c r="H193" t="str">
        <f>SqlGenerator(B193:G193)</f>
        <v>(69,'sesame seeds',2,7,11,'package'),</v>
      </c>
      <c r="I193" t="str">
        <f>IF(C192=C193,"same","not")</f>
        <v>not</v>
      </c>
    </row>
    <row r="194" spans="2:9" x14ac:dyDescent="0.25">
      <c r="B194">
        <v>70</v>
      </c>
      <c r="C194" t="s">
        <v>283</v>
      </c>
      <c r="D194">
        <v>2</v>
      </c>
      <c r="E194">
        <v>3</v>
      </c>
      <c r="F194">
        <v>12</v>
      </c>
      <c r="G194" t="s">
        <v>200</v>
      </c>
      <c r="H194" t="str">
        <f>SqlGenerator(B194:G194)</f>
        <v>(70,'baking soda',2,3,12,'can'),</v>
      </c>
      <c r="I194" t="str">
        <f>IF(C193=C194,"same","not")</f>
        <v>not</v>
      </c>
    </row>
    <row r="195" spans="2:9" x14ac:dyDescent="0.25">
      <c r="B195">
        <v>70</v>
      </c>
      <c r="C195" t="s">
        <v>266</v>
      </c>
      <c r="D195">
        <v>2</v>
      </c>
      <c r="E195">
        <v>3</v>
      </c>
      <c r="F195">
        <v>7</v>
      </c>
      <c r="G195" t="s">
        <v>200</v>
      </c>
      <c r="H195" t="str">
        <f>SqlGenerator(B195:G195)</f>
        <v>(70,'cornmeal',2,3,7,'can'),</v>
      </c>
      <c r="I195" t="str">
        <f>IF(C194=C195,"same","not")</f>
        <v>not</v>
      </c>
    </row>
    <row r="196" spans="2:9" x14ac:dyDescent="0.25">
      <c r="B196">
        <v>70</v>
      </c>
      <c r="C196" t="s">
        <v>210</v>
      </c>
      <c r="D196">
        <v>1</v>
      </c>
      <c r="E196">
        <v>3</v>
      </c>
      <c r="F196">
        <v>7</v>
      </c>
      <c r="G196" t="s">
        <v>201</v>
      </c>
      <c r="H196" t="str">
        <f>SqlGenerator(B196:G196)</f>
        <v>(70,'leeks',1,3,7,'package'),</v>
      </c>
      <c r="I196" t="str">
        <f>IF(C195=C196,"same","not")</f>
        <v>not</v>
      </c>
    </row>
    <row r="197" spans="2:9" x14ac:dyDescent="0.25">
      <c r="B197">
        <v>70</v>
      </c>
      <c r="C197" t="s">
        <v>265</v>
      </c>
      <c r="D197">
        <v>1</v>
      </c>
      <c r="E197">
        <v>3</v>
      </c>
      <c r="F197">
        <v>27</v>
      </c>
      <c r="G197" t="s">
        <v>202</v>
      </c>
      <c r="H197" t="str">
        <f>SqlGenerator(B197:G197)</f>
        <v>(70,'steak',1,3,27,'piece'),</v>
      </c>
      <c r="I197" t="str">
        <f>IF(C196=C197,"same","not")</f>
        <v>not</v>
      </c>
    </row>
    <row r="198" spans="2:9" x14ac:dyDescent="0.25">
      <c r="B198">
        <v>71</v>
      </c>
      <c r="C198" t="s">
        <v>238</v>
      </c>
      <c r="D198">
        <v>2</v>
      </c>
      <c r="E198">
        <v>15</v>
      </c>
      <c r="F198">
        <v>41</v>
      </c>
      <c r="G198" t="s">
        <v>200</v>
      </c>
      <c r="H198" t="str">
        <f>SqlGenerator(B198:G198)</f>
        <v>(71,'applesauce',2,15,41,'can'),</v>
      </c>
      <c r="I198" t="str">
        <f>IF(C197=C198,"same","not")</f>
        <v>not</v>
      </c>
    </row>
    <row r="199" spans="2:9" x14ac:dyDescent="0.25">
      <c r="B199">
        <v>71</v>
      </c>
      <c r="C199" t="s">
        <v>216</v>
      </c>
      <c r="D199">
        <v>2</v>
      </c>
      <c r="E199">
        <v>15</v>
      </c>
      <c r="F199">
        <v>14</v>
      </c>
      <c r="G199" t="s">
        <v>200</v>
      </c>
      <c r="H199" t="str">
        <f>SqlGenerator(B199:G199)</f>
        <v>(71,'gelatin',2,15,14,'can'),</v>
      </c>
      <c r="I199" t="str">
        <f>IF(C198=C199,"same","not")</f>
        <v>not</v>
      </c>
    </row>
    <row r="200" spans="2:9" x14ac:dyDescent="0.25">
      <c r="B200">
        <v>71</v>
      </c>
      <c r="C200" t="s">
        <v>211</v>
      </c>
      <c r="D200">
        <v>1</v>
      </c>
      <c r="E200">
        <v>15</v>
      </c>
      <c r="F200">
        <v>14</v>
      </c>
      <c r="G200" t="s">
        <v>201</v>
      </c>
      <c r="H200" t="str">
        <f>SqlGenerator(B200:G200)</f>
        <v>(71,'lettuce',1,15,14,'package'),</v>
      </c>
      <c r="I200" t="str">
        <f>IF(C199=C200,"same","not")</f>
        <v>not</v>
      </c>
    </row>
    <row r="201" spans="2:9" x14ac:dyDescent="0.25">
      <c r="B201">
        <v>71</v>
      </c>
      <c r="C201" t="s">
        <v>272</v>
      </c>
      <c r="D201">
        <v>2</v>
      </c>
      <c r="E201">
        <v>15</v>
      </c>
      <c r="F201">
        <v>10</v>
      </c>
      <c r="G201" t="s">
        <v>200</v>
      </c>
      <c r="H201" t="str">
        <f>SqlGenerator(B201:G201)</f>
        <v>(71,'pea beans',2,15,10,'can'),</v>
      </c>
      <c r="I201" t="str">
        <f>IF(C200=C201,"same","not")</f>
        <v>not</v>
      </c>
    </row>
    <row r="202" spans="2:9" x14ac:dyDescent="0.25">
      <c r="B202">
        <v>72</v>
      </c>
      <c r="C202" t="s">
        <v>209</v>
      </c>
      <c r="D202">
        <v>1</v>
      </c>
      <c r="E202">
        <v>3</v>
      </c>
      <c r="F202">
        <v>11</v>
      </c>
      <c r="G202" t="s">
        <v>200</v>
      </c>
      <c r="H202" t="str">
        <f>SqlGenerator(B202:G202)</f>
        <v>(72,'chard',1,3,11,'can'),</v>
      </c>
      <c r="I202" t="str">
        <f>IF(C201=C202,"same","not")</f>
        <v>not</v>
      </c>
    </row>
    <row r="203" spans="2:9" x14ac:dyDescent="0.25">
      <c r="B203">
        <v>72</v>
      </c>
      <c r="C203" t="s">
        <v>235</v>
      </c>
      <c r="D203">
        <v>1</v>
      </c>
      <c r="E203">
        <v>3</v>
      </c>
      <c r="F203">
        <v>6</v>
      </c>
      <c r="G203" t="s">
        <v>202</v>
      </c>
      <c r="H203" t="str">
        <f>SqlGenerator(B203:G203)</f>
        <v>(72,'garlic',1,3,6,'piece'),</v>
      </c>
      <c r="I203" t="str">
        <f>IF(C202=C203,"same","not")</f>
        <v>not</v>
      </c>
    </row>
    <row r="204" spans="2:9" x14ac:dyDescent="0.25">
      <c r="B204">
        <v>72</v>
      </c>
      <c r="C204" t="s">
        <v>241</v>
      </c>
      <c r="D204">
        <v>2</v>
      </c>
      <c r="E204">
        <v>3</v>
      </c>
      <c r="F204">
        <v>24</v>
      </c>
      <c r="G204" t="s">
        <v>201</v>
      </c>
      <c r="H204" t="str">
        <f>SqlGenerator(B204:G204)</f>
        <v>(72,'hash browns',2,3,24,'package'),</v>
      </c>
      <c r="I204" t="str">
        <f>IF(C203=C204,"same","not")</f>
        <v>not</v>
      </c>
    </row>
    <row r="205" spans="2:9" x14ac:dyDescent="0.25">
      <c r="B205">
        <v>72</v>
      </c>
      <c r="C205" t="s">
        <v>249</v>
      </c>
      <c r="D205">
        <v>1</v>
      </c>
      <c r="E205">
        <v>3</v>
      </c>
      <c r="F205">
        <v>8</v>
      </c>
      <c r="G205" t="s">
        <v>200</v>
      </c>
      <c r="H205" t="str">
        <f>SqlGenerator(B205:G205)</f>
        <v>(72,'hot sauce',1,3,8,'can'),</v>
      </c>
      <c r="I205" t="str">
        <f>IF(C204=C205,"same","not")</f>
        <v>not</v>
      </c>
    </row>
    <row r="206" spans="2:9" x14ac:dyDescent="0.25">
      <c r="B206">
        <v>72</v>
      </c>
      <c r="C206" t="s">
        <v>215</v>
      </c>
      <c r="D206">
        <v>2</v>
      </c>
      <c r="E206">
        <v>3</v>
      </c>
      <c r="F206">
        <v>14</v>
      </c>
      <c r="G206" t="s">
        <v>202</v>
      </c>
      <c r="H206" t="str">
        <f>SqlGenerator(B206:G206)</f>
        <v>(72,'liver',2,3,14,'piece'),</v>
      </c>
      <c r="I206" t="str">
        <f>IF(C205=C206,"same","not")</f>
        <v>not</v>
      </c>
    </row>
    <row r="207" spans="2:9" x14ac:dyDescent="0.25">
      <c r="B207">
        <v>73</v>
      </c>
      <c r="C207" t="s">
        <v>280</v>
      </c>
      <c r="D207">
        <v>1</v>
      </c>
      <c r="E207">
        <v>3</v>
      </c>
      <c r="F207">
        <v>10</v>
      </c>
      <c r="G207" t="s">
        <v>200</v>
      </c>
      <c r="H207" t="str">
        <f>SqlGenerator(B207:G207)</f>
        <v>(73,'cornstarch',1,3,10,'can'),</v>
      </c>
      <c r="I207" t="str">
        <f>IF(C206=C207,"same","not")</f>
        <v>not</v>
      </c>
    </row>
    <row r="208" spans="2:9" x14ac:dyDescent="0.25">
      <c r="B208">
        <v>73</v>
      </c>
      <c r="C208" t="s">
        <v>291</v>
      </c>
      <c r="D208">
        <v>1</v>
      </c>
      <c r="E208">
        <v>3</v>
      </c>
      <c r="F208">
        <v>37</v>
      </c>
      <c r="G208" t="s">
        <v>200</v>
      </c>
      <c r="H208" t="str">
        <f>SqlGenerator(B208:G208)</f>
        <v>(73,'flax seed',1,3,37,'can'),</v>
      </c>
      <c r="I208" t="str">
        <f>IF(C207=C208,"same","not")</f>
        <v>not</v>
      </c>
    </row>
    <row r="209" spans="2:9" x14ac:dyDescent="0.25">
      <c r="B209">
        <v>73</v>
      </c>
      <c r="C209" t="s">
        <v>235</v>
      </c>
      <c r="D209">
        <v>2</v>
      </c>
      <c r="E209">
        <v>3</v>
      </c>
      <c r="F209">
        <v>6</v>
      </c>
      <c r="G209" t="s">
        <v>202</v>
      </c>
      <c r="H209" t="str">
        <f>SqlGenerator(B209:G209)</f>
        <v>(73,'garlic',2,3,6,'piece'),</v>
      </c>
      <c r="I209" t="str">
        <f>IF(C208=C209,"same","not")</f>
        <v>not</v>
      </c>
    </row>
    <row r="210" spans="2:9" x14ac:dyDescent="0.25">
      <c r="B210">
        <v>74</v>
      </c>
      <c r="C210" t="s">
        <v>213</v>
      </c>
      <c r="D210">
        <v>2</v>
      </c>
      <c r="E210">
        <v>14</v>
      </c>
      <c r="F210">
        <v>14</v>
      </c>
      <c r="G210" t="s">
        <v>202</v>
      </c>
      <c r="H210" t="str">
        <f>SqlGenerator(B210:G210)</f>
        <v>(74,'cantaloupes',2,14,14,'piece'),</v>
      </c>
      <c r="I210" t="str">
        <f>IF(C209=C210,"same","not")</f>
        <v>not</v>
      </c>
    </row>
    <row r="211" spans="2:9" x14ac:dyDescent="0.25">
      <c r="B211">
        <v>74</v>
      </c>
      <c r="C211" t="s">
        <v>279</v>
      </c>
      <c r="D211">
        <v>2</v>
      </c>
      <c r="E211">
        <v>14</v>
      </c>
      <c r="F211">
        <v>11</v>
      </c>
      <c r="G211" t="s">
        <v>201</v>
      </c>
      <c r="H211" t="str">
        <f>SqlGenerator(B211:G211)</f>
        <v>(74,'jicama',2,14,11,'package'),</v>
      </c>
      <c r="I211" t="str">
        <f>IF(C210=C211,"same","not")</f>
        <v>not</v>
      </c>
    </row>
    <row r="212" spans="2:9" x14ac:dyDescent="0.25">
      <c r="B212">
        <v>75</v>
      </c>
      <c r="C212" t="s">
        <v>228</v>
      </c>
      <c r="D212">
        <v>1</v>
      </c>
      <c r="E212">
        <v>5</v>
      </c>
      <c r="F212">
        <v>9</v>
      </c>
      <c r="G212" t="s">
        <v>201</v>
      </c>
      <c r="H212" t="str">
        <f>SqlGenerator(B212:G212)</f>
        <v>(75,'red pepper flakes',1,5,9,'package'),</v>
      </c>
      <c r="I212" t="str">
        <f>IF(C211=C212,"same","not")</f>
        <v>not</v>
      </c>
    </row>
    <row r="213" spans="2:9" x14ac:dyDescent="0.25">
      <c r="B213">
        <v>76</v>
      </c>
      <c r="C213" t="s">
        <v>235</v>
      </c>
      <c r="D213">
        <v>2</v>
      </c>
      <c r="E213">
        <v>12</v>
      </c>
      <c r="F213">
        <v>6</v>
      </c>
      <c r="G213" t="s">
        <v>202</v>
      </c>
      <c r="H213" t="str">
        <f>SqlGenerator(B213:G213)</f>
        <v>(76,'garlic',2,12,6,'piece'),</v>
      </c>
      <c r="I213" t="str">
        <f>IF(C212=C213,"same","not")</f>
        <v>not</v>
      </c>
    </row>
    <row r="214" spans="2:9" x14ac:dyDescent="0.25">
      <c r="B214">
        <v>76</v>
      </c>
      <c r="C214" t="s">
        <v>215</v>
      </c>
      <c r="D214">
        <v>1</v>
      </c>
      <c r="E214">
        <v>12</v>
      </c>
      <c r="F214">
        <v>14</v>
      </c>
      <c r="G214" t="s">
        <v>202</v>
      </c>
      <c r="H214" t="str">
        <f>SqlGenerator(B214:G214)</f>
        <v>(76,'liver',1,12,14,'piece'),</v>
      </c>
      <c r="I214" t="e">
        <f>IF(#REF!=C214,"same","not")</f>
        <v>#REF!</v>
      </c>
    </row>
    <row r="215" spans="2:9" x14ac:dyDescent="0.25">
      <c r="B215">
        <v>76</v>
      </c>
      <c r="C215" t="s">
        <v>247</v>
      </c>
      <c r="D215">
        <v>1</v>
      </c>
      <c r="E215">
        <v>12</v>
      </c>
      <c r="F215">
        <v>8</v>
      </c>
      <c r="G215" t="s">
        <v>200</v>
      </c>
      <c r="H215" t="str">
        <f>SqlGenerator(B215:G215)</f>
        <v>(76,'peaches',1,12,8,'can'),</v>
      </c>
      <c r="I215" t="str">
        <f>IF(C214=C215,"same","not")</f>
        <v>not</v>
      </c>
    </row>
    <row r="216" spans="2:9" x14ac:dyDescent="0.25">
      <c r="B216">
        <v>76</v>
      </c>
      <c r="C216" t="s">
        <v>229</v>
      </c>
      <c r="D216">
        <v>2</v>
      </c>
      <c r="E216">
        <v>12</v>
      </c>
      <c r="F216">
        <v>42</v>
      </c>
      <c r="G216" t="s">
        <v>200</v>
      </c>
      <c r="H216" t="str">
        <f>SqlGenerator(B216:G216)</f>
        <v>(76,'plantains',2,12,42,'can'),</v>
      </c>
      <c r="I216" t="str">
        <f>IF(C215=C216,"same","not")</f>
        <v>not</v>
      </c>
    </row>
    <row r="217" spans="2:9" x14ac:dyDescent="0.25">
      <c r="B217">
        <v>76</v>
      </c>
      <c r="C217" t="s">
        <v>230</v>
      </c>
      <c r="D217">
        <v>2</v>
      </c>
      <c r="E217">
        <v>12</v>
      </c>
      <c r="F217">
        <v>10</v>
      </c>
      <c r="G217" t="s">
        <v>201</v>
      </c>
      <c r="H217" t="str">
        <f>SqlGenerator(B217:G217)</f>
        <v>(76,'spearmint',2,12,10,'package'),</v>
      </c>
      <c r="I217" t="str">
        <f>IF(C216=C217,"same","not")</f>
        <v>not</v>
      </c>
    </row>
    <row r="218" spans="2:9" x14ac:dyDescent="0.25">
      <c r="B218">
        <v>76</v>
      </c>
      <c r="C218" t="s">
        <v>265</v>
      </c>
      <c r="D218">
        <v>2</v>
      </c>
      <c r="E218">
        <v>12</v>
      </c>
      <c r="F218">
        <v>27</v>
      </c>
      <c r="G218" t="s">
        <v>202</v>
      </c>
      <c r="H218" t="str">
        <f>SqlGenerator(B218:G218)</f>
        <v>(76,'steak',2,12,27,'piece'),</v>
      </c>
      <c r="I218" t="str">
        <f>IF(C217=C218,"same","not")</f>
        <v>not</v>
      </c>
    </row>
    <row r="219" spans="2:9" x14ac:dyDescent="0.25">
      <c r="B219">
        <v>77</v>
      </c>
      <c r="C219" t="s">
        <v>227</v>
      </c>
      <c r="D219">
        <v>2</v>
      </c>
      <c r="E219">
        <v>9</v>
      </c>
      <c r="F219">
        <v>9</v>
      </c>
      <c r="G219" t="s">
        <v>201</v>
      </c>
      <c r="H219" t="str">
        <f>SqlGenerator(B219:G219)</f>
        <v>(77,'apples',2,9,9,'package'),</v>
      </c>
      <c r="I219" t="str">
        <f>IF(C218=C219,"same","not")</f>
        <v>not</v>
      </c>
    </row>
    <row r="220" spans="2:9" x14ac:dyDescent="0.25">
      <c r="B220">
        <v>77</v>
      </c>
      <c r="C220" t="s">
        <v>287</v>
      </c>
      <c r="D220">
        <v>2</v>
      </c>
      <c r="E220">
        <v>9</v>
      </c>
      <c r="F220">
        <v>10</v>
      </c>
      <c r="G220" t="s">
        <v>200</v>
      </c>
      <c r="H220" t="str">
        <f>SqlGenerator(B220:G220)</f>
        <v>(77,'nectarines',2,9,10,'can'),</v>
      </c>
      <c r="I220" t="str">
        <f>IF(C219=C220,"same","not")</f>
        <v>not</v>
      </c>
    </row>
    <row r="221" spans="2:9" x14ac:dyDescent="0.25">
      <c r="B221">
        <v>77</v>
      </c>
      <c r="C221" t="s">
        <v>220</v>
      </c>
      <c r="D221">
        <v>2</v>
      </c>
      <c r="E221">
        <v>9</v>
      </c>
      <c r="F221">
        <v>26</v>
      </c>
      <c r="G221" t="s">
        <v>200</v>
      </c>
      <c r="H221" t="str">
        <f>SqlGenerator(B221:G221)</f>
        <v>(77,'poppy seeds',2,9,26,'can'),</v>
      </c>
      <c r="I221" t="str">
        <f>IF(C220=C221,"same","not")</f>
        <v>not</v>
      </c>
    </row>
    <row r="222" spans="2:9" x14ac:dyDescent="0.25">
      <c r="B222">
        <v>78</v>
      </c>
      <c r="C222" t="s">
        <v>266</v>
      </c>
      <c r="D222">
        <v>2</v>
      </c>
      <c r="E222">
        <v>3</v>
      </c>
      <c r="F222">
        <v>7</v>
      </c>
      <c r="G222" t="s">
        <v>200</v>
      </c>
      <c r="H222" t="str">
        <f>SqlGenerator(B222:G222)</f>
        <v>(78,'cornmeal',2,3,7,'can'),</v>
      </c>
      <c r="I222" t="str">
        <f>IF(C221=C222,"same","not")</f>
        <v>not</v>
      </c>
    </row>
    <row r="223" spans="2:9" x14ac:dyDescent="0.25">
      <c r="B223">
        <v>78</v>
      </c>
      <c r="C223" t="s">
        <v>226</v>
      </c>
      <c r="D223">
        <v>2</v>
      </c>
      <c r="E223">
        <v>3</v>
      </c>
      <c r="F223">
        <v>8</v>
      </c>
      <c r="G223" t="s">
        <v>202</v>
      </c>
      <c r="H223" t="str">
        <f>SqlGenerator(B223:G223)</f>
        <v>(78,'mackerel',2,3,8,'piece'),</v>
      </c>
      <c r="I223" t="str">
        <f>IF(C222=C223,"same","not")</f>
        <v>not</v>
      </c>
    </row>
    <row r="224" spans="2:9" x14ac:dyDescent="0.25">
      <c r="B224">
        <v>78</v>
      </c>
      <c r="C224" t="s">
        <v>254</v>
      </c>
      <c r="D224">
        <v>2</v>
      </c>
      <c r="E224">
        <v>3</v>
      </c>
      <c r="F224">
        <v>8</v>
      </c>
      <c r="G224" t="s">
        <v>201</v>
      </c>
      <c r="H224" t="str">
        <f>SqlGenerator(B224:G224)</f>
        <v>(78,'provolone',2,3,8,'package'),</v>
      </c>
      <c r="I224" t="e">
        <f>IF(#REF!=C224,"same","not")</f>
        <v>#REF!</v>
      </c>
    </row>
    <row r="225" spans="2:9" x14ac:dyDescent="0.25">
      <c r="B225">
        <v>78</v>
      </c>
      <c r="C225" t="s">
        <v>230</v>
      </c>
      <c r="D225">
        <v>1</v>
      </c>
      <c r="E225">
        <v>3</v>
      </c>
      <c r="F225">
        <v>10</v>
      </c>
      <c r="G225" t="s">
        <v>201</v>
      </c>
      <c r="H225" t="str">
        <f>SqlGenerator(B225:G225)</f>
        <v>(78,'spearmint',1,3,10,'package'),</v>
      </c>
      <c r="I225" t="e">
        <f>IF(#REF!=C225,"same","not")</f>
        <v>#REF!</v>
      </c>
    </row>
    <row r="226" spans="2:9" x14ac:dyDescent="0.25">
      <c r="B226">
        <v>79</v>
      </c>
      <c r="C226" t="s">
        <v>256</v>
      </c>
      <c r="D226">
        <v>2</v>
      </c>
      <c r="E226">
        <v>13</v>
      </c>
      <c r="F226">
        <v>12</v>
      </c>
      <c r="G226" t="s">
        <v>203</v>
      </c>
      <c r="H226" t="str">
        <f>SqlGenerator(B226:G226)</f>
        <v>(79,'brandy',2,13,12,'bottle'),</v>
      </c>
      <c r="I226" t="str">
        <f>IF(C225=C226,"same","not")</f>
        <v>not</v>
      </c>
    </row>
    <row r="227" spans="2:9" x14ac:dyDescent="0.25">
      <c r="B227">
        <v>79</v>
      </c>
      <c r="C227" t="s">
        <v>274</v>
      </c>
      <c r="D227">
        <v>2</v>
      </c>
      <c r="E227">
        <v>13</v>
      </c>
      <c r="F227">
        <v>17</v>
      </c>
      <c r="G227" t="s">
        <v>200</v>
      </c>
      <c r="H227" t="str">
        <f>SqlGenerator(B227:G227)</f>
        <v>(79,'cremini mushrooms',2,13,17,'can'),</v>
      </c>
      <c r="I227" t="str">
        <f>IF(C226=C227,"same","not")</f>
        <v>not</v>
      </c>
    </row>
    <row r="228" spans="2:9" x14ac:dyDescent="0.25">
      <c r="B228">
        <v>79</v>
      </c>
      <c r="C228" t="s">
        <v>228</v>
      </c>
      <c r="D228">
        <v>2</v>
      </c>
      <c r="E228">
        <v>13</v>
      </c>
      <c r="F228">
        <v>9</v>
      </c>
      <c r="G228" t="s">
        <v>201</v>
      </c>
      <c r="H228" t="str">
        <f>SqlGenerator(B228:G228)</f>
        <v>(79,'red pepper flakes',2,13,9,'package'),</v>
      </c>
      <c r="I228" t="str">
        <f>IF(C227=C228,"same","not")</f>
        <v>not</v>
      </c>
    </row>
    <row r="229" spans="2:9" x14ac:dyDescent="0.25">
      <c r="B229">
        <v>79</v>
      </c>
      <c r="C229" t="s">
        <v>230</v>
      </c>
      <c r="D229">
        <v>1</v>
      </c>
      <c r="E229">
        <v>13</v>
      </c>
      <c r="F229">
        <v>10</v>
      </c>
      <c r="G229" t="s">
        <v>201</v>
      </c>
      <c r="H229" t="str">
        <f>SqlGenerator(B229:G229)</f>
        <v>(79,'spearmint',1,13,10,'package'),</v>
      </c>
      <c r="I229" t="str">
        <f>IF(C228=C229,"same","not")</f>
        <v>not</v>
      </c>
    </row>
    <row r="230" spans="2:9" x14ac:dyDescent="0.25">
      <c r="B230">
        <v>79</v>
      </c>
      <c r="C230" t="s">
        <v>265</v>
      </c>
      <c r="D230">
        <v>2</v>
      </c>
      <c r="E230">
        <v>13</v>
      </c>
      <c r="F230">
        <v>27</v>
      </c>
      <c r="G230" t="s">
        <v>202</v>
      </c>
      <c r="H230" t="str">
        <f>SqlGenerator(B230:G230)</f>
        <v>(79,'steak',2,13,27,'piece'),</v>
      </c>
      <c r="I230" t="str">
        <f>IF(C229=C230,"same","not")</f>
        <v>not</v>
      </c>
    </row>
    <row r="231" spans="2:9" x14ac:dyDescent="0.25">
      <c r="B231">
        <v>80</v>
      </c>
      <c r="C231" t="s">
        <v>229</v>
      </c>
      <c r="D231">
        <v>1</v>
      </c>
      <c r="E231">
        <v>7</v>
      </c>
      <c r="F231">
        <v>42</v>
      </c>
      <c r="G231" t="s">
        <v>200</v>
      </c>
      <c r="H231" t="str">
        <f>SqlGenerator(B231:G231)</f>
        <v>(80,'plantains',1,7,42,'can'),</v>
      </c>
      <c r="I231" t="str">
        <f>IF(C230=C231,"same","not")</f>
        <v>not</v>
      </c>
    </row>
    <row r="232" spans="2:9" x14ac:dyDescent="0.25">
      <c r="B232">
        <v>81</v>
      </c>
      <c r="C232" t="s">
        <v>290</v>
      </c>
      <c r="D232">
        <v>1</v>
      </c>
      <c r="E232">
        <v>11</v>
      </c>
      <c r="F232">
        <v>11</v>
      </c>
      <c r="G232" t="s">
        <v>201</v>
      </c>
      <c r="H232" t="str">
        <f>SqlGenerator(B232:G232)</f>
        <v>(81,'broccoli',1,11,11,'package'),</v>
      </c>
      <c r="I232" t="str">
        <f>IF(C231=C232,"same","not")</f>
        <v>not</v>
      </c>
    </row>
    <row r="233" spans="2:9" x14ac:dyDescent="0.25">
      <c r="B233">
        <v>81</v>
      </c>
      <c r="C233" t="s">
        <v>258</v>
      </c>
      <c r="D233">
        <v>1</v>
      </c>
      <c r="E233">
        <v>11</v>
      </c>
      <c r="F233">
        <v>9</v>
      </c>
      <c r="G233" t="s">
        <v>201</v>
      </c>
      <c r="H233" t="str">
        <f>SqlGenerator(B233:G233)</f>
        <v>(81,'colby cheese',1,11,9,'package'),</v>
      </c>
      <c r="I233" t="str">
        <f>IF(C232=C233,"same","not")</f>
        <v>not</v>
      </c>
    </row>
    <row r="234" spans="2:9" x14ac:dyDescent="0.25">
      <c r="B234">
        <v>81</v>
      </c>
      <c r="C234" t="s">
        <v>262</v>
      </c>
      <c r="D234">
        <v>2</v>
      </c>
      <c r="E234">
        <v>11</v>
      </c>
      <c r="F234">
        <v>18</v>
      </c>
      <c r="G234" t="s">
        <v>201</v>
      </c>
      <c r="H234" t="str">
        <f>SqlGenerator(B234:G234)</f>
        <v>(81,'feta cheese',2,11,18,'package'),</v>
      </c>
      <c r="I234" t="str">
        <f>IF(C233=C234,"same","not")</f>
        <v>not</v>
      </c>
    </row>
    <row r="235" spans="2:9" x14ac:dyDescent="0.25">
      <c r="B235">
        <v>81</v>
      </c>
      <c r="C235" t="s">
        <v>252</v>
      </c>
      <c r="D235">
        <v>2</v>
      </c>
      <c r="E235">
        <v>11</v>
      </c>
      <c r="F235">
        <v>7</v>
      </c>
      <c r="G235" t="s">
        <v>200</v>
      </c>
      <c r="H235" t="str">
        <f>SqlGenerator(B235:G235)</f>
        <v>(81,'mushrooms',2,11,7,'can'),</v>
      </c>
      <c r="I235" t="str">
        <f>IF(C234=C235,"same","not")</f>
        <v>not</v>
      </c>
    </row>
    <row r="236" spans="2:9" x14ac:dyDescent="0.25">
      <c r="B236">
        <v>81</v>
      </c>
      <c r="C236" t="s">
        <v>250</v>
      </c>
      <c r="D236">
        <v>1</v>
      </c>
      <c r="E236">
        <v>11</v>
      </c>
      <c r="F236">
        <v>8</v>
      </c>
      <c r="G236" t="s">
        <v>201</v>
      </c>
      <c r="H236" t="str">
        <f>SqlGenerator(B236:G236)</f>
        <v>(81,'pumpkin seeds',1,11,8,'package'),</v>
      </c>
      <c r="I236" t="str">
        <f>IF(C235=C236,"same","not")</f>
        <v>not</v>
      </c>
    </row>
    <row r="237" spans="2:9" x14ac:dyDescent="0.25">
      <c r="B237">
        <v>82</v>
      </c>
      <c r="C237" t="s">
        <v>242</v>
      </c>
      <c r="D237">
        <v>1</v>
      </c>
      <c r="E237">
        <v>12</v>
      </c>
      <c r="F237">
        <v>11</v>
      </c>
      <c r="G237" t="s">
        <v>200</v>
      </c>
      <c r="H237" t="str">
        <f>SqlGenerator(B237:G237)</f>
        <v>(82,'black-eyed peas',1,12,11,'can'),</v>
      </c>
      <c r="I237" t="str">
        <f>IF(C236=C237,"same","not")</f>
        <v>not</v>
      </c>
    </row>
    <row r="238" spans="2:9" x14ac:dyDescent="0.25">
      <c r="B238">
        <v>82</v>
      </c>
      <c r="C238" t="s">
        <v>217</v>
      </c>
      <c r="D238">
        <v>1</v>
      </c>
      <c r="E238">
        <v>12</v>
      </c>
      <c r="F238">
        <v>7</v>
      </c>
      <c r="G238" t="s">
        <v>203</v>
      </c>
      <c r="H238" t="str">
        <f>SqlGenerator(B238:G238)</f>
        <v>(82,'borscht',1,12,7,'bottle'),</v>
      </c>
      <c r="I238" t="str">
        <f>IF(C237=C238,"same","not")</f>
        <v>not</v>
      </c>
    </row>
    <row r="239" spans="2:9" x14ac:dyDescent="0.25">
      <c r="B239">
        <v>82</v>
      </c>
      <c r="C239" t="s">
        <v>213</v>
      </c>
      <c r="D239">
        <v>1</v>
      </c>
      <c r="E239">
        <v>12</v>
      </c>
      <c r="F239">
        <v>14</v>
      </c>
      <c r="G239" t="s">
        <v>202</v>
      </c>
      <c r="H239" t="str">
        <f>SqlGenerator(B239:G239)</f>
        <v>(82,'cantaloupes',1,12,14,'piece'),</v>
      </c>
      <c r="I239" t="str">
        <f>IF(C238=C239,"same","not")</f>
        <v>not</v>
      </c>
    </row>
    <row r="240" spans="2:9" x14ac:dyDescent="0.25">
      <c r="B240">
        <v>82</v>
      </c>
      <c r="C240" t="s">
        <v>252</v>
      </c>
      <c r="D240">
        <v>2</v>
      </c>
      <c r="E240">
        <v>12</v>
      </c>
      <c r="F240">
        <v>7</v>
      </c>
      <c r="G240" t="s">
        <v>200</v>
      </c>
      <c r="H240" t="str">
        <f>SqlGenerator(B240:G240)</f>
        <v>(82,'mushrooms',2,12,7,'can'),</v>
      </c>
      <c r="I240" t="str">
        <f>IF(C239=C240,"same","not")</f>
        <v>not</v>
      </c>
    </row>
    <row r="241" spans="2:9" x14ac:dyDescent="0.25">
      <c r="B241">
        <v>83</v>
      </c>
      <c r="C241" t="s">
        <v>288</v>
      </c>
      <c r="D241">
        <v>2</v>
      </c>
      <c r="E241">
        <v>13</v>
      </c>
      <c r="F241">
        <v>11</v>
      </c>
      <c r="G241" t="s">
        <v>200</v>
      </c>
      <c r="H241" t="str">
        <f>SqlGenerator(B241:G241)</f>
        <v>(83,'fennel',2,13,11,'can'),</v>
      </c>
      <c r="I241" t="str">
        <f>IF(C240=C241,"same","not")</f>
        <v>not</v>
      </c>
    </row>
    <row r="242" spans="2:9" x14ac:dyDescent="0.25">
      <c r="B242">
        <v>84</v>
      </c>
      <c r="C242" t="s">
        <v>247</v>
      </c>
      <c r="D242">
        <v>2</v>
      </c>
      <c r="E242">
        <v>14</v>
      </c>
      <c r="F242">
        <v>8</v>
      </c>
      <c r="G242" t="s">
        <v>200</v>
      </c>
      <c r="H242" t="str">
        <f>SqlGenerator(B242:G242)</f>
        <v>(84,'peaches',2,14,8,'can'),</v>
      </c>
      <c r="I242" t="str">
        <f>IF(C241=C242,"same","not")</f>
        <v>not</v>
      </c>
    </row>
    <row r="243" spans="2:9" x14ac:dyDescent="0.25">
      <c r="B243">
        <v>85</v>
      </c>
      <c r="C243" t="s">
        <v>233</v>
      </c>
      <c r="D243">
        <v>2</v>
      </c>
      <c r="E243">
        <v>10</v>
      </c>
      <c r="F243">
        <v>23</v>
      </c>
      <c r="G243" t="s">
        <v>201</v>
      </c>
      <c r="H243" t="str">
        <f>SqlGenerator(B243:G243)</f>
        <v>(85,'acorn squash',2,10,23,'package'),</v>
      </c>
      <c r="I243" t="str">
        <f>IF(C242=C243,"same","not")</f>
        <v>not</v>
      </c>
    </row>
    <row r="244" spans="2:9" x14ac:dyDescent="0.25">
      <c r="B244">
        <v>85</v>
      </c>
      <c r="C244" t="s">
        <v>219</v>
      </c>
      <c r="D244">
        <v>2</v>
      </c>
      <c r="E244">
        <v>10</v>
      </c>
      <c r="F244">
        <v>6</v>
      </c>
      <c r="G244" t="s">
        <v>200</v>
      </c>
      <c r="H244" t="str">
        <f>SqlGenerator(B244:G244)</f>
        <v>(85,'canola oil',2,10,6,'can'),</v>
      </c>
      <c r="I244" t="str">
        <f>IF(C243=C244,"same","not")</f>
        <v>not</v>
      </c>
    </row>
    <row r="245" spans="2:9" x14ac:dyDescent="0.25">
      <c r="B245">
        <v>85</v>
      </c>
      <c r="C245" t="s">
        <v>235</v>
      </c>
      <c r="D245">
        <v>2</v>
      </c>
      <c r="E245">
        <v>10</v>
      </c>
      <c r="F245">
        <v>6</v>
      </c>
      <c r="G245" t="s">
        <v>202</v>
      </c>
      <c r="H245" t="str">
        <f>SqlGenerator(B245:G245)</f>
        <v>(85,'garlic',2,10,6,'piece'),</v>
      </c>
      <c r="I245" t="str">
        <f>IF(C244=C245,"same","not")</f>
        <v>not</v>
      </c>
    </row>
    <row r="246" spans="2:9" x14ac:dyDescent="0.25">
      <c r="B246">
        <v>85</v>
      </c>
      <c r="C246" t="s">
        <v>247</v>
      </c>
      <c r="D246">
        <v>1</v>
      </c>
      <c r="E246">
        <v>10</v>
      </c>
      <c r="F246">
        <v>8</v>
      </c>
      <c r="G246" t="s">
        <v>200</v>
      </c>
      <c r="H246" t="str">
        <f>SqlGenerator(B246:G246)</f>
        <v>(85,'peaches',1,10,8,'can'),</v>
      </c>
      <c r="I246" t="str">
        <f>IF(C245=C246,"same","not")</f>
        <v>not</v>
      </c>
    </row>
    <row r="247" spans="2:9" x14ac:dyDescent="0.25">
      <c r="B247">
        <v>85</v>
      </c>
      <c r="C247" t="s">
        <v>230</v>
      </c>
      <c r="D247">
        <v>2</v>
      </c>
      <c r="E247">
        <v>10</v>
      </c>
      <c r="F247">
        <v>10</v>
      </c>
      <c r="G247" t="s">
        <v>201</v>
      </c>
      <c r="H247" t="str">
        <f>SqlGenerator(B247:G247)</f>
        <v>(85,'spearmint',2,10,10,'package'),</v>
      </c>
      <c r="I247" t="str">
        <f>IF(C246=C247,"same","not")</f>
        <v>not</v>
      </c>
    </row>
    <row r="248" spans="2:9" x14ac:dyDescent="0.25">
      <c r="B248">
        <v>86</v>
      </c>
      <c r="C248" t="s">
        <v>245</v>
      </c>
      <c r="D248">
        <v>1</v>
      </c>
      <c r="E248">
        <v>7</v>
      </c>
      <c r="F248">
        <v>23</v>
      </c>
      <c r="G248" t="s">
        <v>201</v>
      </c>
      <c r="H248" t="str">
        <f>SqlGenerator(B248:G248)</f>
        <v>(86,'ale',1,7,23,'package'),</v>
      </c>
      <c r="I248" t="str">
        <f>IF(C247=C248,"same","not")</f>
        <v>not</v>
      </c>
    </row>
    <row r="249" spans="2:9" x14ac:dyDescent="0.25">
      <c r="B249">
        <v>86</v>
      </c>
      <c r="C249" t="s">
        <v>236</v>
      </c>
      <c r="D249">
        <v>1</v>
      </c>
      <c r="E249">
        <v>7</v>
      </c>
      <c r="F249">
        <v>6</v>
      </c>
      <c r="G249" t="s">
        <v>200</v>
      </c>
      <c r="H249" t="str">
        <f>SqlGenerator(B249:G249)</f>
        <v>(86,'bean threads',1,7,6,'can'),</v>
      </c>
      <c r="I249" t="str">
        <f>IF(C248=C249,"same","not")</f>
        <v>not</v>
      </c>
    </row>
    <row r="250" spans="2:9" x14ac:dyDescent="0.25">
      <c r="B250">
        <v>86</v>
      </c>
      <c r="C250" t="s">
        <v>209</v>
      </c>
      <c r="D250">
        <v>1</v>
      </c>
      <c r="E250">
        <v>7</v>
      </c>
      <c r="F250">
        <v>11</v>
      </c>
      <c r="G250" t="s">
        <v>200</v>
      </c>
      <c r="H250" t="str">
        <f>SqlGenerator(B250:G250)</f>
        <v>(86,'chard',1,7,11,'can'),</v>
      </c>
      <c r="I250" t="str">
        <f>IF(C249=C250,"same","not")</f>
        <v>not</v>
      </c>
    </row>
    <row r="251" spans="2:9" x14ac:dyDescent="0.25">
      <c r="B251">
        <v>86</v>
      </c>
      <c r="C251" t="s">
        <v>243</v>
      </c>
      <c r="D251">
        <v>1</v>
      </c>
      <c r="E251">
        <v>7</v>
      </c>
      <c r="F251">
        <v>24</v>
      </c>
      <c r="G251" t="s">
        <v>201</v>
      </c>
      <c r="H251" t="str">
        <f>SqlGenerator(B251:G251)</f>
        <v>(86,'french fries',1,7,24,'package'),</v>
      </c>
      <c r="I251" t="str">
        <f>IF(C250=C251,"same","not")</f>
        <v>not</v>
      </c>
    </row>
    <row r="252" spans="2:9" x14ac:dyDescent="0.25">
      <c r="B252">
        <v>86</v>
      </c>
      <c r="C252" t="s">
        <v>279</v>
      </c>
      <c r="D252">
        <v>1</v>
      </c>
      <c r="E252">
        <v>7</v>
      </c>
      <c r="F252">
        <v>11</v>
      </c>
      <c r="G252" t="s">
        <v>201</v>
      </c>
      <c r="H252" t="str">
        <f>SqlGenerator(B252:G252)</f>
        <v>(86,'jicama',1,7,11,'package'),</v>
      </c>
      <c r="I252" t="str">
        <f>IF(C251=C252,"same","not")</f>
        <v>not</v>
      </c>
    </row>
    <row r="253" spans="2:9" x14ac:dyDescent="0.25">
      <c r="B253">
        <v>86</v>
      </c>
      <c r="C253" t="s">
        <v>247</v>
      </c>
      <c r="D253">
        <v>2</v>
      </c>
      <c r="E253">
        <v>7</v>
      </c>
      <c r="F253">
        <v>8</v>
      </c>
      <c r="G253" t="s">
        <v>200</v>
      </c>
      <c r="H253" t="str">
        <f>SqlGenerator(B253:G253)</f>
        <v>(86,'peaches',2,7,8,'can'),</v>
      </c>
      <c r="I253" t="str">
        <f>IF(C252=C253,"same","not")</f>
        <v>not</v>
      </c>
    </row>
    <row r="254" spans="2:9" x14ac:dyDescent="0.25">
      <c r="B254">
        <v>87</v>
      </c>
      <c r="C254" t="s">
        <v>275</v>
      </c>
      <c r="D254">
        <v>1</v>
      </c>
      <c r="E254">
        <v>11</v>
      </c>
      <c r="F254">
        <v>17</v>
      </c>
      <c r="G254" t="s">
        <v>201</v>
      </c>
      <c r="H254" t="str">
        <f>SqlGenerator(B254:G254)</f>
        <v>(87,'ricotta cheese',1,11,17,'package'),</v>
      </c>
      <c r="I254" t="str">
        <f>IF(C253=C254,"same","not")</f>
        <v>not</v>
      </c>
    </row>
    <row r="255" spans="2:9" x14ac:dyDescent="0.25">
      <c r="B255">
        <v>87</v>
      </c>
      <c r="C255" t="s">
        <v>265</v>
      </c>
      <c r="D255">
        <v>1</v>
      </c>
      <c r="E255">
        <v>11</v>
      </c>
      <c r="F255">
        <v>27</v>
      </c>
      <c r="G255" t="s">
        <v>202</v>
      </c>
      <c r="H255" t="str">
        <f>SqlGenerator(B255:G255)</f>
        <v>(87,'steak',1,11,27,'piece'),</v>
      </c>
      <c r="I255" t="str">
        <f>IF(C254=C255,"same","not")</f>
        <v>not</v>
      </c>
    </row>
    <row r="256" spans="2:9" x14ac:dyDescent="0.25">
      <c r="B256">
        <v>88</v>
      </c>
      <c r="C256" t="s">
        <v>268</v>
      </c>
      <c r="D256">
        <v>2</v>
      </c>
      <c r="E256">
        <v>2</v>
      </c>
      <c r="F256">
        <v>10</v>
      </c>
      <c r="G256" t="s">
        <v>200</v>
      </c>
      <c r="H256" t="str">
        <f>SqlGenerator(B256:G256)</f>
        <v>(88,'beets',2,2,10,'can'),</v>
      </c>
      <c r="I256" t="str">
        <f>IF(C255=C256,"same","not")</f>
        <v>not</v>
      </c>
    </row>
    <row r="257" spans="2:9" x14ac:dyDescent="0.25">
      <c r="B257">
        <v>88</v>
      </c>
      <c r="C257" t="s">
        <v>235</v>
      </c>
      <c r="D257">
        <v>2</v>
      </c>
      <c r="E257">
        <v>2</v>
      </c>
      <c r="F257">
        <v>6</v>
      </c>
      <c r="G257" t="s">
        <v>202</v>
      </c>
      <c r="H257" t="str">
        <f>SqlGenerator(B257:G257)</f>
        <v>(88,'garlic',2,2,6,'piece'),</v>
      </c>
      <c r="I257" t="str">
        <f>IF(C256=C257,"same","not")</f>
        <v>not</v>
      </c>
    </row>
    <row r="258" spans="2:9" x14ac:dyDescent="0.25">
      <c r="B258">
        <v>88</v>
      </c>
      <c r="C258" t="s">
        <v>210</v>
      </c>
      <c r="D258">
        <v>2</v>
      </c>
      <c r="E258">
        <v>2</v>
      </c>
      <c r="F258">
        <v>7</v>
      </c>
      <c r="G258" t="s">
        <v>201</v>
      </c>
      <c r="H258" t="str">
        <f>SqlGenerator(B258:G258)</f>
        <v>(88,'leeks',2,2,7,'package'),</v>
      </c>
      <c r="I258" t="str">
        <f>IF(C257=C258,"same","not")</f>
        <v>not</v>
      </c>
    </row>
    <row r="259" spans="2:9" x14ac:dyDescent="0.25">
      <c r="B259">
        <v>88</v>
      </c>
      <c r="C259" t="s">
        <v>228</v>
      </c>
      <c r="D259">
        <v>2</v>
      </c>
      <c r="E259">
        <v>2</v>
      </c>
      <c r="F259">
        <v>9</v>
      </c>
      <c r="G259" t="s">
        <v>201</v>
      </c>
      <c r="H259" t="str">
        <f>SqlGenerator(B259:G259)</f>
        <v>(88,'red pepper flakes',2,2,9,'package'),</v>
      </c>
      <c r="I259" t="str">
        <f>IF(C258=C259,"same","not")</f>
        <v>not</v>
      </c>
    </row>
    <row r="260" spans="2:9" x14ac:dyDescent="0.25">
      <c r="B260">
        <v>89</v>
      </c>
      <c r="C260" t="s">
        <v>227</v>
      </c>
      <c r="D260">
        <v>2</v>
      </c>
      <c r="E260">
        <v>5</v>
      </c>
      <c r="F260">
        <v>9</v>
      </c>
      <c r="G260" t="s">
        <v>201</v>
      </c>
      <c r="H260" t="str">
        <f>SqlGenerator(B260:G260)</f>
        <v>(89,'apples',2,5,9,'package'),</v>
      </c>
      <c r="I260" t="str">
        <f>IF(C259=C260,"same","not")</f>
        <v>not</v>
      </c>
    </row>
    <row r="261" spans="2:9" x14ac:dyDescent="0.25">
      <c r="B261">
        <v>89</v>
      </c>
      <c r="C261" t="s">
        <v>261</v>
      </c>
      <c r="D261">
        <v>2</v>
      </c>
      <c r="E261">
        <v>5</v>
      </c>
      <c r="F261">
        <v>7</v>
      </c>
      <c r="G261" t="s">
        <v>203</v>
      </c>
      <c r="H261" t="str">
        <f>SqlGenerator(B261:G261)</f>
        <v>(89,'coconut oil',2,5,7,'bottle'),</v>
      </c>
      <c r="I261" t="str">
        <f>IF(C260=C261,"same","not")</f>
        <v>not</v>
      </c>
    </row>
    <row r="262" spans="2:9" x14ac:dyDescent="0.25">
      <c r="B262">
        <v>89</v>
      </c>
      <c r="C262" t="s">
        <v>271</v>
      </c>
      <c r="D262">
        <v>1</v>
      </c>
      <c r="E262">
        <v>5</v>
      </c>
      <c r="F262">
        <v>18</v>
      </c>
      <c r="G262" t="s">
        <v>201</v>
      </c>
      <c r="H262" t="str">
        <f>SqlGenerator(B262:G262)</f>
        <v>(89,'cream cheese',1,5,18,'package'),</v>
      </c>
      <c r="I262" t="str">
        <f>IF(C261=C262,"same","not")</f>
        <v>not</v>
      </c>
    </row>
    <row r="263" spans="2:9" x14ac:dyDescent="0.25">
      <c r="B263">
        <v>89</v>
      </c>
      <c r="C263" t="s">
        <v>257</v>
      </c>
      <c r="D263">
        <v>1</v>
      </c>
      <c r="E263">
        <v>5</v>
      </c>
      <c r="F263">
        <v>6</v>
      </c>
      <c r="G263" t="s">
        <v>200</v>
      </c>
      <c r="H263" t="str">
        <f>SqlGenerator(B263:G263)</f>
        <v>(89,'cream of tartar',1,5,6,'can'),</v>
      </c>
      <c r="I263" t="e">
        <f>IF(#REF!=C263,"same","not")</f>
        <v>#REF!</v>
      </c>
    </row>
    <row r="264" spans="2:9" x14ac:dyDescent="0.25">
      <c r="B264">
        <v>89</v>
      </c>
      <c r="C264" t="s">
        <v>235</v>
      </c>
      <c r="D264">
        <v>1</v>
      </c>
      <c r="E264">
        <v>5</v>
      </c>
      <c r="F264">
        <v>6</v>
      </c>
      <c r="G264" t="s">
        <v>202</v>
      </c>
      <c r="H264" t="str">
        <f>SqlGenerator(B264:G264)</f>
        <v>(89,'garlic',1,5,6,'piece'),</v>
      </c>
      <c r="I264" t="str">
        <f>IF(C263=C264,"same","not")</f>
        <v>not</v>
      </c>
    </row>
    <row r="265" spans="2:9" x14ac:dyDescent="0.25">
      <c r="B265">
        <v>89</v>
      </c>
      <c r="C265" t="s">
        <v>211</v>
      </c>
      <c r="D265">
        <v>2</v>
      </c>
      <c r="E265">
        <v>5</v>
      </c>
      <c r="F265">
        <v>14</v>
      </c>
      <c r="G265" t="s">
        <v>201</v>
      </c>
      <c r="H265" t="str">
        <f>SqlGenerator(B265:G265)</f>
        <v>(89,'lettuce',2,5,14,'package'),</v>
      </c>
      <c r="I265" t="str">
        <f>IF(C264=C265,"same","not")</f>
        <v>not</v>
      </c>
    </row>
    <row r="266" spans="2:9" x14ac:dyDescent="0.25">
      <c r="B266">
        <v>89</v>
      </c>
      <c r="C266" t="s">
        <v>215</v>
      </c>
      <c r="D266">
        <v>1</v>
      </c>
      <c r="E266">
        <v>5</v>
      </c>
      <c r="F266">
        <v>14</v>
      </c>
      <c r="G266" t="s">
        <v>202</v>
      </c>
      <c r="H266" t="str">
        <f>SqlGenerator(B266:G266)</f>
        <v>(89,'liver',1,5,14,'piece'),</v>
      </c>
      <c r="I266" t="str">
        <f>IF(C265=C266,"same","not")</f>
        <v>not</v>
      </c>
    </row>
    <row r="267" spans="2:9" x14ac:dyDescent="0.25">
      <c r="B267">
        <v>89</v>
      </c>
      <c r="C267" t="s">
        <v>222</v>
      </c>
      <c r="D267">
        <v>2</v>
      </c>
      <c r="E267">
        <v>5</v>
      </c>
      <c r="F267">
        <v>6</v>
      </c>
      <c r="G267" t="s">
        <v>201</v>
      </c>
      <c r="H267" t="str">
        <f>SqlGenerator(B267:G267)</f>
        <v>(89,'spaghetti squash',2,5,6,'package'),</v>
      </c>
      <c r="I267" t="str">
        <f>IF(C266=C267,"same","not")</f>
        <v>not</v>
      </c>
    </row>
    <row r="268" spans="2:9" x14ac:dyDescent="0.25">
      <c r="B268">
        <v>90</v>
      </c>
      <c r="C268" t="s">
        <v>233</v>
      </c>
      <c r="D268">
        <v>1</v>
      </c>
      <c r="E268">
        <v>3</v>
      </c>
      <c r="F268">
        <v>23</v>
      </c>
      <c r="G268" t="s">
        <v>201</v>
      </c>
      <c r="H268" t="str">
        <f>SqlGenerator(B268:G268)</f>
        <v>(90,'acorn squash',1,3,23,'package'),</v>
      </c>
      <c r="I268" t="str">
        <f>IF(C267=C268,"same","not")</f>
        <v>not</v>
      </c>
    </row>
    <row r="269" spans="2:9" x14ac:dyDescent="0.25">
      <c r="B269">
        <v>90</v>
      </c>
      <c r="C269" t="s">
        <v>250</v>
      </c>
      <c r="D269">
        <v>2</v>
      </c>
      <c r="E269">
        <v>3</v>
      </c>
      <c r="F269">
        <v>8</v>
      </c>
      <c r="G269" t="s">
        <v>201</v>
      </c>
      <c r="H269" t="str">
        <f>SqlGenerator(B269:G269)</f>
        <v>(90,'pumpkin seeds',2,3,8,'package'),</v>
      </c>
      <c r="I269" t="str">
        <f>IF(C268=C269,"same","not")</f>
        <v>not</v>
      </c>
    </row>
    <row r="270" spans="2:9" x14ac:dyDescent="0.25">
      <c r="B270">
        <v>91</v>
      </c>
      <c r="C270" t="s">
        <v>243</v>
      </c>
      <c r="D270">
        <v>2</v>
      </c>
      <c r="E270">
        <v>6</v>
      </c>
      <c r="F270">
        <v>24</v>
      </c>
      <c r="G270" t="s">
        <v>201</v>
      </c>
      <c r="H270" t="str">
        <f>SqlGenerator(B270:G270)</f>
        <v>(91,'french fries',2,6,24,'package'),</v>
      </c>
      <c r="I270" t="str">
        <f>IF(C269=C270,"same","not")</f>
        <v>not</v>
      </c>
    </row>
    <row r="271" spans="2:9" x14ac:dyDescent="0.25">
      <c r="B271">
        <v>91</v>
      </c>
      <c r="C271" t="s">
        <v>279</v>
      </c>
      <c r="D271">
        <v>2</v>
      </c>
      <c r="E271">
        <v>6</v>
      </c>
      <c r="F271">
        <v>11</v>
      </c>
      <c r="G271" t="s">
        <v>201</v>
      </c>
      <c r="H271" t="str">
        <f>SqlGenerator(B271:G271)</f>
        <v>(91,'jicama',2,6,11,'package'),</v>
      </c>
      <c r="I271" t="str">
        <f>IF(C270=C271,"same","not")</f>
        <v>not</v>
      </c>
    </row>
    <row r="272" spans="2:9" x14ac:dyDescent="0.25">
      <c r="B272">
        <v>91</v>
      </c>
      <c r="C272" t="s">
        <v>215</v>
      </c>
      <c r="D272">
        <v>2</v>
      </c>
      <c r="E272">
        <v>6</v>
      </c>
      <c r="F272">
        <v>14</v>
      </c>
      <c r="G272" t="s">
        <v>202</v>
      </c>
      <c r="H272" t="str">
        <f>SqlGenerator(B272:G272)</f>
        <v>(91,'liver',2,6,14,'piece'),</v>
      </c>
      <c r="I272" t="str">
        <f>IF(C271=C272,"same","not")</f>
        <v>not</v>
      </c>
    </row>
    <row r="273" spans="2:9" x14ac:dyDescent="0.25">
      <c r="B273">
        <v>91</v>
      </c>
      <c r="C273" t="s">
        <v>247</v>
      </c>
      <c r="D273">
        <v>2</v>
      </c>
      <c r="E273">
        <v>6</v>
      </c>
      <c r="F273">
        <v>8</v>
      </c>
      <c r="G273" t="s">
        <v>200</v>
      </c>
      <c r="H273" t="str">
        <f>SqlGenerator(B273:G273)</f>
        <v>(91,'peaches',2,6,8,'can'),</v>
      </c>
      <c r="I273" t="str">
        <f>IF(C272=C273,"same","not")</f>
        <v>not</v>
      </c>
    </row>
    <row r="274" spans="2:9" x14ac:dyDescent="0.25">
      <c r="B274">
        <v>92</v>
      </c>
      <c r="C274" t="s">
        <v>260</v>
      </c>
      <c r="D274">
        <v>2</v>
      </c>
      <c r="E274">
        <v>15</v>
      </c>
      <c r="F274">
        <v>23</v>
      </c>
      <c r="G274" t="s">
        <v>202</v>
      </c>
      <c r="H274" t="str">
        <f>SqlGenerator(B274:G274)</f>
        <v>(92,'Canadian bacon',2,15,23,'piece'),</v>
      </c>
      <c r="I274" t="str">
        <f>IF(C273=C274,"same","not")</f>
        <v>not</v>
      </c>
    </row>
    <row r="275" spans="2:9" x14ac:dyDescent="0.25">
      <c r="B275">
        <v>92</v>
      </c>
      <c r="C275" t="s">
        <v>219</v>
      </c>
      <c r="D275">
        <v>2</v>
      </c>
      <c r="E275">
        <v>15</v>
      </c>
      <c r="F275">
        <v>6</v>
      </c>
      <c r="G275" t="s">
        <v>200</v>
      </c>
      <c r="H275" t="str">
        <f>SqlGenerator(B275:G275)</f>
        <v>(92,'canola oil',2,15,6,'can'),</v>
      </c>
      <c r="I275" t="str">
        <f>IF(C274=C275,"same","not")</f>
        <v>not</v>
      </c>
    </row>
    <row r="276" spans="2:9" x14ac:dyDescent="0.25">
      <c r="B276">
        <v>92</v>
      </c>
      <c r="C276" t="s">
        <v>253</v>
      </c>
      <c r="D276">
        <v>1</v>
      </c>
      <c r="E276">
        <v>15</v>
      </c>
      <c r="F276">
        <v>26</v>
      </c>
      <c r="G276" t="s">
        <v>200</v>
      </c>
      <c r="H276" t="str">
        <f>SqlGenerator(B276:G276)</f>
        <v>(92,'corned beef',1,15,26,'can'),</v>
      </c>
      <c r="I276" t="str">
        <f>IF(C275=C276,"same","not")</f>
        <v>not</v>
      </c>
    </row>
    <row r="277" spans="2:9" x14ac:dyDescent="0.25">
      <c r="B277">
        <v>92</v>
      </c>
      <c r="C277" t="s">
        <v>234</v>
      </c>
      <c r="D277">
        <v>1</v>
      </c>
      <c r="E277">
        <v>15</v>
      </c>
      <c r="F277">
        <v>24</v>
      </c>
      <c r="G277" t="s">
        <v>202</v>
      </c>
      <c r="H277" t="str">
        <f>SqlGenerator(B277:G277)</f>
        <v>(92,'hamburger',1,15,24,'piece'),</v>
      </c>
      <c r="I277" t="str">
        <f>IF(C276=C277,"same","not")</f>
        <v>not</v>
      </c>
    </row>
    <row r="278" spans="2:9" x14ac:dyDescent="0.25">
      <c r="B278">
        <v>92</v>
      </c>
      <c r="C278" t="s">
        <v>228</v>
      </c>
      <c r="D278">
        <v>1</v>
      </c>
      <c r="E278">
        <v>15</v>
      </c>
      <c r="F278">
        <v>9</v>
      </c>
      <c r="G278" t="s">
        <v>201</v>
      </c>
      <c r="H278" t="str">
        <f>SqlGenerator(B278:G278)</f>
        <v>(92,'red pepper flakes',1,15,9,'package'),</v>
      </c>
      <c r="I278" t="str">
        <f>IF(C277=C278,"same","not")</f>
        <v>not</v>
      </c>
    </row>
    <row r="279" spans="2:9" x14ac:dyDescent="0.25">
      <c r="B279">
        <v>92</v>
      </c>
      <c r="C279" t="s">
        <v>214</v>
      </c>
      <c r="D279">
        <v>2</v>
      </c>
      <c r="E279">
        <v>15</v>
      </c>
      <c r="F279">
        <v>15</v>
      </c>
      <c r="G279" t="s">
        <v>201</v>
      </c>
      <c r="H279" t="str">
        <f>SqlGenerator(B279:G279)</f>
        <v>(92,'tea',2,15,15,'package'),</v>
      </c>
      <c r="I279" t="str">
        <f>IF(C278=C279,"same","not")</f>
        <v>not</v>
      </c>
    </row>
    <row r="280" spans="2:9" x14ac:dyDescent="0.25">
      <c r="B280">
        <v>93</v>
      </c>
      <c r="C280" t="s">
        <v>276</v>
      </c>
      <c r="D280">
        <v>1</v>
      </c>
      <c r="E280">
        <v>7</v>
      </c>
      <c r="F280">
        <v>37</v>
      </c>
      <c r="G280" t="s">
        <v>200</v>
      </c>
      <c r="H280" t="str">
        <f>SqlGenerator(B280:G280)</f>
        <v>(93,'berries',1,7,37,'can'),</v>
      </c>
      <c r="I280" t="str">
        <f>IF(C279=C280,"same","not")</f>
        <v>not</v>
      </c>
    </row>
    <row r="281" spans="2:9" x14ac:dyDescent="0.25">
      <c r="B281">
        <v>93</v>
      </c>
      <c r="C281" t="s">
        <v>288</v>
      </c>
      <c r="D281">
        <v>2</v>
      </c>
      <c r="E281">
        <v>7</v>
      </c>
      <c r="F281">
        <v>11</v>
      </c>
      <c r="G281" t="s">
        <v>200</v>
      </c>
      <c r="H281" t="str">
        <f>SqlGenerator(B281:G281)</f>
        <v>(93,'fennel',2,7,11,'can'),</v>
      </c>
      <c r="I281" t="str">
        <f>IF(C280=C281,"same","not")</f>
        <v>not</v>
      </c>
    </row>
    <row r="282" spans="2:9" x14ac:dyDescent="0.25">
      <c r="B282">
        <v>93</v>
      </c>
      <c r="C282" t="s">
        <v>241</v>
      </c>
      <c r="D282">
        <v>1</v>
      </c>
      <c r="E282">
        <v>7</v>
      </c>
      <c r="F282">
        <v>24</v>
      </c>
      <c r="G282" t="s">
        <v>201</v>
      </c>
      <c r="H282" t="str">
        <f>SqlGenerator(B282:G282)</f>
        <v>(93,'hash browns',1,7,24,'package'),</v>
      </c>
      <c r="I282" t="str">
        <f>IF(C281=C282,"same","not")</f>
        <v>not</v>
      </c>
    </row>
    <row r="283" spans="2:9" x14ac:dyDescent="0.25">
      <c r="B283">
        <v>93</v>
      </c>
      <c r="C283" t="s">
        <v>254</v>
      </c>
      <c r="D283">
        <v>1</v>
      </c>
      <c r="E283">
        <v>7</v>
      </c>
      <c r="F283">
        <v>8</v>
      </c>
      <c r="G283" t="s">
        <v>201</v>
      </c>
      <c r="H283" t="str">
        <f>SqlGenerator(B283:G283)</f>
        <v>(93,'provolone',1,7,8,'package'),</v>
      </c>
      <c r="I283" t="str">
        <f>IF(C282=C283,"same","not")</f>
        <v>not</v>
      </c>
    </row>
    <row r="284" spans="2:9" x14ac:dyDescent="0.25">
      <c r="B284">
        <v>94</v>
      </c>
      <c r="C284" t="s">
        <v>235</v>
      </c>
      <c r="D284">
        <v>1</v>
      </c>
      <c r="E284">
        <v>12</v>
      </c>
      <c r="F284">
        <v>6</v>
      </c>
      <c r="G284" t="s">
        <v>202</v>
      </c>
      <c r="H284" t="str">
        <f>SqlGenerator(B284:G284)</f>
        <v>(94,'garlic',1,12,6,'piece'),</v>
      </c>
      <c r="I284" t="str">
        <f>IF(C283=C284,"same","not")</f>
        <v>not</v>
      </c>
    </row>
    <row r="285" spans="2:9" x14ac:dyDescent="0.25">
      <c r="B285">
        <v>94</v>
      </c>
      <c r="C285" t="s">
        <v>272</v>
      </c>
      <c r="D285">
        <v>2</v>
      </c>
      <c r="E285">
        <v>12</v>
      </c>
      <c r="F285">
        <v>10</v>
      </c>
      <c r="G285" t="s">
        <v>200</v>
      </c>
      <c r="H285" t="str">
        <f>SqlGenerator(B285:G285)</f>
        <v>(94,'pea beans',2,12,10,'can'),</v>
      </c>
      <c r="I285" t="str">
        <f>IF(C284=C285,"same","not")</f>
        <v>not</v>
      </c>
    </row>
    <row r="286" spans="2:9" x14ac:dyDescent="0.25">
      <c r="B286">
        <v>95</v>
      </c>
      <c r="C286" t="s">
        <v>248</v>
      </c>
      <c r="D286">
        <v>2</v>
      </c>
      <c r="E286">
        <v>4</v>
      </c>
      <c r="F286">
        <v>8</v>
      </c>
      <c r="G286" t="s">
        <v>200</v>
      </c>
      <c r="H286" t="str">
        <f>SqlGenerator(B286:G286)</f>
        <v>(95,'coriander',2,4,8,'can'),</v>
      </c>
      <c r="I286" t="str">
        <f>IF(C285=C286,"same","not")</f>
        <v>not</v>
      </c>
    </row>
    <row r="287" spans="2:9" x14ac:dyDescent="0.25">
      <c r="B287">
        <v>95</v>
      </c>
      <c r="C287" t="s">
        <v>235</v>
      </c>
      <c r="D287">
        <v>1</v>
      </c>
      <c r="E287">
        <v>4</v>
      </c>
      <c r="F287">
        <v>6</v>
      </c>
      <c r="G287" t="s">
        <v>202</v>
      </c>
      <c r="H287" t="str">
        <f>SqlGenerator(B287:G287)</f>
        <v>(95,'garlic',1,4,6,'piece'),</v>
      </c>
      <c r="I287" t="e">
        <f>IF(#REF!=C287,"same","not")</f>
        <v>#REF!</v>
      </c>
    </row>
    <row r="288" spans="2:9" x14ac:dyDescent="0.25">
      <c r="B288">
        <v>95</v>
      </c>
      <c r="C288" t="s">
        <v>285</v>
      </c>
      <c r="D288">
        <v>1</v>
      </c>
      <c r="E288">
        <v>4</v>
      </c>
      <c r="F288">
        <v>10</v>
      </c>
      <c r="G288" t="s">
        <v>200</v>
      </c>
      <c r="H288" t="str">
        <f>SqlGenerator(B288:G288)</f>
        <v>(95,'granola',1,4,10,'can'),</v>
      </c>
      <c r="I288" t="str">
        <f>IF(C287=C288,"same","not")</f>
        <v>not</v>
      </c>
    </row>
    <row r="289" spans="2:9" x14ac:dyDescent="0.25">
      <c r="B289">
        <v>95</v>
      </c>
      <c r="C289" t="s">
        <v>265</v>
      </c>
      <c r="D289">
        <v>2</v>
      </c>
      <c r="E289">
        <v>4</v>
      </c>
      <c r="F289">
        <v>27</v>
      </c>
      <c r="G289" t="s">
        <v>202</v>
      </c>
      <c r="H289" t="str">
        <f>SqlGenerator(B289:G289)</f>
        <v>(95,'steak',2,4,27,'piece'),</v>
      </c>
      <c r="I289" t="str">
        <f>IF(C288=C289,"same","not")</f>
        <v>not</v>
      </c>
    </row>
    <row r="290" spans="2:9" x14ac:dyDescent="0.25">
      <c r="B290">
        <v>96</v>
      </c>
      <c r="C290" t="s">
        <v>268</v>
      </c>
      <c r="D290">
        <v>2</v>
      </c>
      <c r="E290">
        <v>3</v>
      </c>
      <c r="F290">
        <v>10</v>
      </c>
      <c r="G290" t="s">
        <v>200</v>
      </c>
      <c r="H290" t="str">
        <f>SqlGenerator(B290:G290)</f>
        <v>(96,'beets',2,3,10,'can'),</v>
      </c>
      <c r="I290" t="str">
        <f>IF(C289=C290,"same","not")</f>
        <v>not</v>
      </c>
    </row>
    <row r="291" spans="2:9" x14ac:dyDescent="0.25">
      <c r="B291">
        <v>96</v>
      </c>
      <c r="C291" t="s">
        <v>257</v>
      </c>
      <c r="D291">
        <v>2</v>
      </c>
      <c r="E291">
        <v>3</v>
      </c>
      <c r="F291">
        <v>6</v>
      </c>
      <c r="G291" t="s">
        <v>200</v>
      </c>
      <c r="H291" t="str">
        <f>SqlGenerator(B291:G291)</f>
        <v>(96,'cream of tartar',2,3,6,'can'),</v>
      </c>
      <c r="I291" t="str">
        <f>IF(C290=C291,"same","not")</f>
        <v>not</v>
      </c>
    </row>
    <row r="292" spans="2:9" x14ac:dyDescent="0.25">
      <c r="B292">
        <v>96</v>
      </c>
      <c r="C292" t="s">
        <v>278</v>
      </c>
      <c r="D292">
        <v>2</v>
      </c>
      <c r="E292">
        <v>3</v>
      </c>
      <c r="F292">
        <v>7</v>
      </c>
      <c r="G292" t="s">
        <v>202</v>
      </c>
      <c r="H292" t="str">
        <f>SqlGenerator(B292:G292)</f>
        <v>(96,'grouper',2,3,7,'piece'),</v>
      </c>
      <c r="I292" t="str">
        <f>IF(C291=C292,"same","not")</f>
        <v>not</v>
      </c>
    </row>
  </sheetData>
  <autoFilter ref="B2:H292">
    <sortState ref="B3:H299">
      <sortCondition ref="B2:B299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Suppliers</vt:lpstr>
      <vt:lpstr>Vendors</vt:lpstr>
      <vt:lpstr>Ingredient</vt:lpstr>
      <vt:lpstr>IngredientGenerator</vt:lpstr>
      <vt:lpstr>Ingredient Confirm</vt:lpstr>
      <vt:lpstr>Dish</vt:lpstr>
      <vt:lpstr>Ingredient_Quantity</vt:lpstr>
      <vt:lpstr>Ingredient_Quantity_Confirm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2016-02-20T05:53:59Z</dcterms:created>
  <dcterms:modified xsi:type="dcterms:W3CDTF">2016-03-24T03:21:59Z</dcterms:modified>
</cp:coreProperties>
</file>